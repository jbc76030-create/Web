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74ff086a9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mensual" sheetId="1" r:id="R87ca2d8519bd4c47"/>
    <x:sheet xmlns:r="http://schemas.openxmlformats.org/officeDocument/2006/relationships" name="Agenda diaria" sheetId="2" r:id="R5e4e8f694e674aca"/>
    <x:sheet xmlns:r="http://schemas.openxmlformats.org/officeDocument/2006/relationships" name="Servicios" sheetId="3" r:id="Rd3ad3852ea1e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dd/mm/yyyy"/>
  </x:numFmts>
  <x:fonts count="8">
    <x:font>
      <x:sz val="11"/>
      <x:name val="Carlito"/>
    </x:font>
    <x:font>
      <x:b/>
      <x:sz val="15"/>
      <x:color rgb="FF09294A"/>
      <x:name val="Arial"/>
    </x:font>
    <x:font>
      <x:b/>
      <x:sz val="11"/>
      <x:color rgb="FF09294A"/>
      <x:name val="Arial"/>
    </x:font>
    <x:font>
      <x:b/>
      <x:sz val="11"/>
      <x:color rgb="FFFFFFFF"/>
      <x:name val="Arial"/>
    </x:font>
    <x:font>
      <x:b/>
      <x:sz val="10"/>
      <x:color rgb="FF09294A"/>
      <x:name val="Arial"/>
    </x:font>
    <x:font>
      <x:sz val="11"/>
      <x:name val="Arial"/>
    </x:font>
    <x:font>
      <x:sz val="10"/>
      <x:color rgb="FF18344C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D2"/>
      </x:patternFill>
    </x:fill>
    <x:fill>
      <x:patternFill patternType="solid">
        <x:fgColor rgb="FFEAF0F5"/>
      </x:patternFill>
    </x:fill>
    <x:fill>
      <x:patternFill patternType="solid">
        <x:fgColor rgb="FF09294A"/>
      </x:patternFill>
    </x:fill>
    <x:fill>
      <x:patternFill patternType="solid">
        <x:fgColor rgb="FFFFF9EB"/>
      </x:patternFill>
    </x:fill>
    <x:fill>
      <x:patternFill patternType="solid">
        <x:fgColor rgb="FFFFFA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C3983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D1C1C"/>
      </x:font>
      <x:fill>
        <x:patternFill patternType="solid">
          <x:bgColor rgb="FFFCE8E6"/>
        </x:patternFill>
      </x:fill>
    </x:dxf>
    <x:dxf>
      <x:font>
        <x:b/>
        <x:color rgb="FF7E5100"/>
      </x:font>
      <x:fill>
        <x:patternFill patternType="solid">
          <x:bgColor rgb="FFFFF0C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61874cb3d47de" /><Relationship Type="http://schemas.openxmlformats.org/officeDocument/2006/relationships/theme" Target="/xl/theme/theme1.xml" Id="R34f5b1d35cbc42d6" /><Relationship Type="http://schemas.openxmlformats.org/officeDocument/2006/relationships/sharedStrings" Target="/xl/sharedStrings.xml" Id="Rcd8819c2452e4e2d" /><Relationship Type="http://schemas.openxmlformats.org/officeDocument/2006/relationships/worksheet" Target="/xl/worksheets/sheet1.xml" Id="R87ca2d8519bd4c47" /><Relationship Type="http://schemas.openxmlformats.org/officeDocument/2006/relationships/worksheet" Target="/xl/worksheets/sheet2.xml" Id="R5e4e8f694e674aca" /><Relationship Type="http://schemas.openxmlformats.org/officeDocument/2006/relationships/worksheet" Target="/xl/worksheets/sheet3.xml" Id="Rd3ad3852ea1e499f" /></Relationships>
</file>

<file path=xl/tables/table1.xml><?xml version="1.0" encoding="utf-8"?>
<x:table xmlns:x="http://schemas.openxmlformats.org/spreadsheetml/2006/main" id="1" name="ServiciosJB" displayName="ServiciosJB" ref="A6:T150" headerRowCount="1" totalsRowCount="0" totalsRowShown="0">
  <x:tableColumns count="20">
    <x:tableColumn id="1" name="ID"/>
    <x:tableColumn id="2" name="Área"/>
    <x:tableColumn id="3" name="Servicio"/>
    <x:tableColumn id="4" name="Contratado"/>
    <x:tableColumn id="5" name="Insumos requeridos"/>
    <x:tableColumn id="6" name="Entregable comprometido"/>
    <x:tableColumn id="7" name="Jornada foco"/>
    <x:tableColumn id="8" name="Estado"/>
    <x:tableColumn id="9" name="Responsable"/>
    <x:tableColumn id="10" name="Última acción"/>
    <x:tableColumn id="11" name="Vencimiento"/>
    <x:tableColumn id="12" name="Próxima acción"/>
    <x:tableColumn id="13" name="Insumos completos"/>
    <x:tableColumn id="14" name="Evidencia / fuente"/>
    <x:tableColumn id="15" name="Archivo entregado"/>
    <x:tableColumn id="16" name="Aceptación cliente"/>
    <x:tableColumn id="17" name="Fecha aceptación"/>
    <x:tableColumn id="18" name="Prioridad"/>
    <x:tableColumn id="19" name="Alerta"/>
    <x:tableColumn id="2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ed601723e79492a" /></Relationships>
</file>

<file path=xl/worksheets/sheet1.xml><?xml version="1.0" encoding="utf-8"?>
<x:worksheet xmlns:x="http://schemas.openxmlformats.org/spreadsheetml/2006/main">
  <x:sheetPr>
    <x:tabColor rgb="FF09294A"/>
  </x:sheetPr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</x:row>
    <x:row r="2">
      <x:c r="A2" s="4" t="str">
        <x:v>Plan mensual de la Oficina Inteligente JB</x:v>
      </x:c>
      <x:c r="B2" s="4"/>
      <x:c r="C2" s="4"/>
      <x:c r="D2" s="4"/>
      <x:c r="E2" s="4"/>
      <x:c r="F2" s="4"/>
      <x:c r="G2" s="4"/>
      <x:c r="H2" s="4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4" t="str">
        <x:v>Empresa cliente</x:v>
      </x:c>
      <x:c r="B4" s="16"/>
      <x:c r="C4" s="14"/>
      <x:c r="D4" s="14"/>
      <x:c r="E4" s="14"/>
      <x:c r="F4" s="14"/>
      <x:c r="G4" s="14"/>
      <x:c r="H4" s="14"/>
    </x:row>
    <x:row r="5">
      <x:c r="A5" s="14" t="str">
        <x:v>Mes de trabajo</x:v>
      </x:c>
      <x:c r="B5" s="17" t="d">
        <x:v>2026-10-01T12:00:00.000Z</x:v>
      </x:c>
      <x:c r="C5" s="14"/>
      <x:c r="D5" s="14"/>
      <x:c r="E5" s="14"/>
      <x:c r="F5" s="14"/>
      <x:c r="G5" s="14"/>
      <x:c r="H5" s="14"/>
    </x:row>
    <x:row r="6">
      <x:c r="A6" s="14" t="str">
        <x:v>Contrato o expediente</x:v>
      </x:c>
      <x:c r="B6" s="16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8" t="str">
        <x:v>Servicios contratados</x:v>
      </x:c>
      <x:c r="B9" s="10" t="n">
        <x:f>COUNTIFS(Servicios!D7:D150,"Sí")</x:f>
        <x:v>0</x:v>
      </x:c>
      <x:c r="C9" s="10" t="str">
        <x:v>Aceptados por cliente</x:v>
      </x:c>
      <x:c r="D9" s="10" t="n">
        <x:f>COUNTIFS(Servicios!D7:D150,"Sí",Servicios!P7:P150,"Sí")</x:f>
        <x:v>0</x:v>
      </x:c>
      <x:c r="E9" s="10" t="str">
        <x:v>Vencidos</x:v>
      </x:c>
      <x:c r="F9" s="10" t="n">
        <x:f>COUNTIFS(Servicios!D7:D150,"Sí",Servicios!S7:S150,"Vencido")</x:f>
        <x:v>0</x:v>
      </x:c>
      <x:c r="G9" s="10" t="str">
        <x:v>Por revisar</x:v>
      </x:c>
      <x:c r="H9" s="10" t="n">
        <x:f>COUNTIFS(Servicios!D7:D150,"Sí",Servicios!H7:H150,"En revisión")</x:f>
        <x:v>0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 ht="27" customHeight="1">
      <x:c r="A11" s="12" t="str">
        <x:v>Rutina de cada jornada hábil</x:v>
      </x:c>
      <x:c r="B11" s="12"/>
      <x:c r="C11" s="12"/>
      <x:c r="D11" s="12"/>
      <x:c r="E11" s="12"/>
      <x:c r="F11" s="12"/>
      <x:c r="G11" s="12"/>
      <x:c r="H11" s="12"/>
    </x:row>
    <x:row r="12" ht="36" customHeight="1">
      <x:c r="A12" s="14" t="str">
        <x:v>08:00–08:20</x:v>
      </x:c>
      <x:c r="B12" s="19" t="str">
        <x:v>Abrir Qué hacer hoy; revisar contratos activos, vencimientos y citas; filtrar Servicios por “Vencido” y “Próximo”.</x:v>
      </x:c>
      <x:c r="C12" s="19" t="str">
        <x:v>Prioridades reales del día</x:v>
      </x:c>
      <x:c r="D12" s="14"/>
      <x:c r="E12" s="14"/>
      <x:c r="F12" s="14"/>
      <x:c r="G12" s="14"/>
      <x:c r="H12" s="14"/>
    </x:row>
    <x:row r="13" ht="36" customHeight="1">
      <x:c r="A13" s="14" t="str">
        <x:v>08:20–09:00</x:v>
      </x:c>
      <x:c r="B13" s="19" t="str">
        <x:v>Registrar contactos, solicitudes y documentos; comprobar alcance, autorización y datos faltantes.</x:v>
      </x:c>
      <x:c r="C13" s="19" t="str">
        <x:v>Pedidos validados y responsable</x:v>
      </x:c>
      <x:c r="D13" s="14"/>
      <x:c r="E13" s="14"/>
      <x:c r="F13" s="14"/>
      <x:c r="G13" s="14"/>
      <x:c r="H13" s="14"/>
    </x:row>
    <x:row r="14" ht="36" customHeight="1">
      <x:c r="A14" s="14" t="str">
        <x:v>09:00–12:00</x:v>
      </x:c>
      <x:c r="B14" s="19" t="str">
        <x:v>Desarrollar los servicios de prioridad alta y los de la jornada foco; guardar versión y fuentes.</x:v>
      </x:c>
      <x:c r="C14" s="19" t="str">
        <x:v>Borradores, cálculos o matrices</x:v>
      </x:c>
      <x:c r="D14" s="14"/>
      <x:c r="E14" s="14"/>
      <x:c r="F14" s="14"/>
      <x:c r="G14" s="14"/>
      <x:c r="H14" s="14"/>
    </x:row>
    <x:row r="15" ht="36" customHeight="1">
      <x:c r="A15" s="14" t="str">
        <x:v>13:00–14:30</x:v>
      </x:c>
      <x:c r="B15" s="19" t="str">
        <x:v>Continuar expedientes abiertos; revisar normas aplicables en la Gaceta Oficial cuando el trabajo lo requiera.</x:v>
      </x:c>
      <x:c r="C15" s="19" t="str">
        <x:v>Evidencias y fuente fechada</x:v>
      </x:c>
      <x:c r="D15" s="14"/>
      <x:c r="E15" s="14"/>
      <x:c r="F15" s="14"/>
      <x:c r="G15" s="14"/>
      <x:c r="H15" s="14"/>
    </x:row>
    <x:row r="16" ht="36" customHeight="1">
      <x:c r="A16" s="14" t="str">
        <x:v>14:30–15:15</x:v>
      </x:c>
      <x:c r="B16" s="19" t="str">
        <x:v>Revisar cifras, hechos, integridad y riesgos; exportar entregables y someterlos a revisión competente.</x:v>
      </x:c>
      <x:c r="C16" s="19" t="str">
        <x:v>Archivo revisado y trazabilidad</x:v>
      </x:c>
      <x:c r="D16" s="14"/>
      <x:c r="E16" s="14"/>
      <x:c r="F16" s="14"/>
      <x:c r="G16" s="14"/>
      <x:c r="H16" s="14"/>
    </x:row>
    <x:row r="17" ht="36" customHeight="1">
      <x:c r="A17" s="14" t="str">
        <x:v>15:15–15:45</x:v>
      </x:c>
      <x:c r="B17" s="19" t="str">
        <x:v>Contactar próximos clientes; enviar solo entregables aprobados y registrar respuesta/aceptación.</x:v>
      </x:c>
      <x:c r="C17" s="19" t="str">
        <x:v>Registro de envío y aceptación</x:v>
      </x:c>
      <x:c r="D17" s="14"/>
      <x:c r="E17" s="14"/>
      <x:c r="F17" s="14"/>
      <x:c r="G17" s="14"/>
      <x:c r="H17" s="14"/>
    </x:row>
    <x:row r="18" ht="36" customHeight="1">
      <x:c r="A18" s="14" t="str">
        <x:v>15:45–16:00</x:v>
      </x:c>
      <x:c r="B18" s="19" t="str">
        <x:v>Actualizar la próxima acción de cada servicio activo y hacer copia privada al cierre.</x:v>
      </x:c>
      <x:c r="C18" s="19" t="str">
        <x:v>Respaldo y lista de mañana</x:v>
      </x:c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 ht="27" customHeight="1">
      <x:c r="A20" s="12" t="str">
        <x:v>Cierre mensual</x:v>
      </x:c>
      <x:c r="B20" s="12"/>
      <x:c r="C20" s="12"/>
      <x:c r="D20" s="12"/>
      <x:c r="E20" s="12"/>
      <x:c r="F20" s="12"/>
      <x:c r="G20" s="12"/>
      <x:c r="H20" s="12"/>
    </x:row>
    <x:row r="21" ht="32" customHeight="1">
      <x:c r="A21" s="14" t="str">
        <x:v>1</x:v>
      </x:c>
      <x:c r="B21" s="19" t="str">
        <x:v>Revisar los 144 registros; confirmar cuáles están realmente contratados y cuáles no.</x:v>
      </x:c>
      <x:c r="C21" s="14"/>
      <x:c r="D21" s="14"/>
      <x:c r="E21" s="14"/>
      <x:c r="F21" s="14"/>
      <x:c r="G21" s="14"/>
      <x:c r="H21" s="14"/>
    </x:row>
    <x:row r="22" ht="32" customHeight="1">
      <x:c r="A22" s="14" t="str">
        <x:v>2</x:v>
      </x:c>
      <x:c r="B22" s="19" t="str">
        <x:v>Conciliar cada servicio contratado con su entregable, evidencia, fecha, revisión y aceptación.</x:v>
      </x:c>
      <x:c r="C22" s="14"/>
      <x:c r="D22" s="14"/>
      <x:c r="E22" s="14"/>
      <x:c r="F22" s="14"/>
      <x:c r="G22" s="14"/>
      <x:c r="H22" s="14"/>
    </x:row>
    <x:row r="23" ht="32" customHeight="1">
      <x:c r="A23" s="14" t="str">
        <x:v>3</x:v>
      </x:c>
      <x:c r="B23" s="19" t="str">
        <x:v>Registrar pendientes, bloqueos, vencimientos y acciones correctivas con responsable y plazo.</x:v>
      </x:c>
      <x:c r="C23" s="14"/>
      <x:c r="D23" s="14"/>
      <x:c r="E23" s="14"/>
      <x:c r="F23" s="14"/>
      <x:c r="G23" s="14"/>
      <x:c r="H23" s="14"/>
    </x:row>
    <x:row r="24" ht="32" customHeight="1">
      <x:c r="A24" s="14" t="str">
        <x:v>4</x:v>
      </x:c>
      <x:c r="B24" s="19" t="str">
        <x:v>Entregar un informe mensual al cliente con resultados comprobados, anexos y próximos pasos.</x:v>
      </x:c>
      <x:c r="C24" s="14"/>
      <x:c r="D24" s="14"/>
      <x:c r="E24" s="14"/>
      <x:c r="F24" s="14"/>
      <x:c r="G24" s="14"/>
      <x:c r="H24" s="14"/>
    </x:row>
    <x:row r="25" ht="32" customHeight="1">
      <x:c r="A25" s="14" t="str">
        <x:v>5</x:v>
      </x:c>
      <x:c r="B25" s="19" t="str">
        <x:v>Guardar respaldo verificable y fijar la primera jornada del mes siguiente.</x:v>
      </x:c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3" t="str">
        <x:v>Uso</x:v>
      </x:c>
      <x:c r="B27" s="13" t="str"/>
      <x:c r="C27" s="13" t="str"/>
      <x:c r="D27" s="13" t="str"/>
      <x:c r="E27" s="13" t="str"/>
      <x:c r="F27" s="13" t="str"/>
      <x:c r="G27" s="13" t="str"/>
      <x:c r="H27" s="13" t="str"/>
    </x:row>
    <x:row r="28">
      <x:c r="A28" s="20" t="str">
        <x:v>En Servicios, marque “Sí” solo tras confirmar el alcance contratado. La fecha y la aceptación son datos reales, no supuestos.</x:v>
      </x:c>
      <x:c r="B28" s="20" t="str"/>
      <x:c r="C28" s="20" t="str"/>
      <x:c r="D28" s="20" t="str"/>
      <x:c r="E28" s="20" t="str"/>
      <x:c r="F28" s="20" t="str"/>
      <x:c r="G28" s="20" t="str"/>
      <x:c r="H28" s="20" t="str"/>
    </x:row>
    <x:row r="29">
      <x:c r="A29" s="20" t="str">
        <x:v>El ciclo de Agenda diaria usa 20 jornadas hábiles; 21–23 cubren meses más largos o pendientes. Repetir cada mes.</x:v>
      </x:c>
      <x:c r="B29" s="20" t="str"/>
      <x:c r="C29" s="20" t="str"/>
      <x:c r="D29" s="20" t="str"/>
      <x:c r="E29" s="20" t="str"/>
      <x:c r="F29" s="20" t="str"/>
      <x:c r="G29" s="20" t="str"/>
      <x:c r="H29" s="20" t="str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4" t="str">
        <x:v>Fuente del listado: catálogo JB de 143 servicios originales y una ampliación, Web/oficina/data.js. Para normas, consultar su texto vigente en https://www.gacetaoficial.gob.cu/</x:v>
      </x:c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D8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6" hidden="0" customWidth="1"/>
    <x:col min="4" max="4" width="25" hidden="0" customWidth="1"/>
    <x:col min="5" max="5" width="72" hidden="0" customWidth="1"/>
    <x:col min="6" max="6" width="53" hidden="0" customWidth="1"/>
    <x:col min="7" max="7" width="30" hidden="0" customWidth="1"/>
    <x:col min="8" max="8" width="30" hidden="0" customWidth="1"/>
    <x:col min="9" max="9" width="20" hidden="0" customWidth="1"/>
    <x:col min="10" max="10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Agenda mensual por jornada hábil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3" t="str">
        <x:v>Foco rotativo: vigile a diario todos los servicios contratados; produzca según prioridad y vencimiento.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1" customHeight="1">
      <x:c r="A6" s="22" t="str">
        <x:v>Jornada</x:v>
      </x:c>
      <x:c r="B6" s="22" t="str">
        <x:v>Fecha real</x:v>
      </x:c>
      <x:c r="C6" s="22" t="str">
        <x:v>Áreas foco</x:v>
      </x:c>
      <x:c r="D6" s="22" t="str">
        <x:v>Servicios del catálogo</x:v>
      </x:c>
      <x:c r="E6" s="22" t="str">
        <x:v>Trabajo del día</x:v>
      </x:c>
      <x:c r="F6" s="22" t="str">
        <x:v>Resultado esperado</x:v>
      </x:c>
      <x:c r="G6" s="22" t="str">
        <x:v>Evidencia / revisión</x:v>
      </x:c>
      <x:c r="H6" s="22" t="str">
        <x:v>Contacto y entrega</x:v>
      </x:c>
      <x:c r="I6" s="22" t="str">
        <x:v>Estado</x:v>
      </x:c>
      <x:c r="J6" s="22" t="str">
        <x:v>Pendiente para mañana</x:v>
      </x:c>
    </x:row>
    <x:row r="7" ht="56" customHeight="1">
      <x:c r="A7" s="3" t="n">
        <x:v>1</x:v>
      </x:c>
      <x:c r="B7" s="24"/>
      <x:c r="C7" s="26" t="str">
        <x:v>Documentos</x:v>
      </x:c>
      <x:c r="D7" s="26" t="str">
        <x:v>1, 2, 3, 4, 5, 6, 7, 8, 9, 10</x:v>
      </x:c>
      <x:c r="E7" s="26" t="str">
        <x:v>Diagnosticar, producir y actualizar los servicios 1, 2, 3, 4, 5, 6, 7, 8, 9, 10 según contrato e insumos disponibles.</x:v>
      </x:c>
      <x:c r="F7" s="26" t="str">
        <x:v>Documento editable y registro de fuentes</x:v>
      </x:c>
      <x:c r="G7" s="25" t="str">
        <x:v>Anotar archivo, fuente y revisión</x:v>
      </x:c>
      <x:c r="H7" s="25" t="str">
        <x:v>Registrar respuesta y aceptación</x:v>
      </x:c>
      <x:c r="I7" s="25"/>
      <x:c r="J7" s="25"/>
    </x:row>
    <x:row r="8" ht="56" customHeight="1">
      <x:c r="A8" s="3" t="n">
        <x:v>2</x:v>
      </x:c>
      <x:c r="B8" s="24"/>
      <x:c r="C8" s="26" t="str">
        <x:v>Análisis documental</x:v>
      </x:c>
      <x:c r="D8" s="26" t="str">
        <x:v>11, 12, 13, 14, 15, 16</x:v>
      </x:c>
      <x:c r="E8" s="26" t="str">
        <x:v>Diagnosticar, producir y actualizar los servicios 11, 12, 13, 14, 15, 16 según contrato e insumos disponibles.</x:v>
      </x:c>
      <x:c r="F8" s="26" t="str">
        <x:v>Matriz de hallazgos y comparación</x:v>
      </x:c>
      <x:c r="G8" s="25" t="str">
        <x:v>Anotar archivo, fuente y revisión</x:v>
      </x:c>
      <x:c r="H8" s="25" t="str">
        <x:v>Registrar respuesta y aceptación</x:v>
      </x:c>
      <x:c r="I8" s="25"/>
      <x:c r="J8" s="25"/>
    </x:row>
    <x:row r="9" ht="56" customHeight="1">
      <x:c r="A9" s="3" t="n">
        <x:v>3</x:v>
      </x:c>
      <x:c r="B9" s="24"/>
      <x:c r="C9" s="26" t="str">
        <x:v>Archivo privado</x:v>
      </x:c>
      <x:c r="D9" s="26" t="str">
        <x:v>23, 24, 25, 26, 27, 28</x:v>
      </x:c>
      <x:c r="E9" s="26" t="str">
        <x:v>Diagnosticar, producir y actualizar los servicios 23, 24, 25, 26, 27, 28 según contrato e insumos disponibles.</x:v>
      </x:c>
      <x:c r="F9" s="26" t="str">
        <x:v>Índice de expediente y reglas de archivo</x:v>
      </x:c>
      <x:c r="G9" s="25" t="str">
        <x:v>Anotar archivo, fuente y revisión</x:v>
      </x:c>
      <x:c r="H9" s="25" t="str">
        <x:v>Registrar respuesta y aceptación</x:v>
      </x:c>
      <x:c r="I9" s="25"/>
      <x:c r="J9" s="25"/>
    </x:row>
    <x:row r="10" ht="56" customHeight="1">
      <x:c r="A10" s="3" t="n">
        <x:v>4</x:v>
      </x:c>
      <x:c r="B10" s="24"/>
      <x:c r="C10" s="26" t="str">
        <x:v>Control interno</x:v>
      </x:c>
      <x:c r="D10" s="26" t="str">
        <x:v>69, 70, 71, 72, 73, 74, 81, 82, 83, 84, 85, 86, 87</x:v>
      </x:c>
      <x:c r="E10" s="26" t="str">
        <x:v>Diagnosticar, producir y actualizar los servicios 69, 70, 71, 72, 73, 74, 81, 82, 83, 84, 85, 86, 87 según contrato e insumos disponibles.</x:v>
      </x:c>
      <x:c r="F10" s="26" t="str">
        <x:v>Matriz de controles y plan de medidas</x:v>
      </x:c>
      <x:c r="G10" s="25" t="str">
        <x:v>Anotar archivo, fuente y revisión</x:v>
      </x:c>
      <x:c r="H10" s="25" t="str">
        <x:v>Registrar respuesta y aceptación</x:v>
      </x:c>
      <x:c r="I10" s="25"/>
      <x:c r="J10" s="25"/>
    </x:row>
    <x:row r="11" ht="56" customHeight="1">
      <x:c r="A11" s="3" t="n">
        <x:v>5</x:v>
      </x:c>
      <x:c r="B11" s="24"/>
      <x:c r="C11" s="26" t="str">
        <x:v>Capital humano + Formación y desempeño</x:v>
      </x:c>
      <x:c r="D11" s="26" t="str">
        <x:v>88, 90, 91, 94, 95, 97</x:v>
      </x:c>
      <x:c r="E11" s="26" t="str">
        <x:v>Diagnosticar, producir y actualizar los servicios 88, 90, 91, 94, 95, 97 según contrato e insumos disponibles.</x:v>
      </x:c>
      <x:c r="F11" s="26" t="str">
        <x:v>Organigrama, perfiles y controles auxiliares · Plan de formación y evaluación</x:v>
      </x:c>
      <x:c r="G11" s="25" t="str">
        <x:v>Anotar archivo, fuente y revisión</x:v>
      </x:c>
      <x:c r="H11" s="25" t="str">
        <x:v>Registrar respuesta y aceptación</x:v>
      </x:c>
      <x:c r="I11" s="25"/>
      <x:c r="J11" s="25"/>
    </x:row>
    <x:row r="12" ht="56" customHeight="1">
      <x:c r="A12" s="3" t="n">
        <x:v>6</x:v>
      </x:c>
      <x:c r="B12" s="24"/>
      <x:c r="C12" s="26" t="str">
        <x:v>Trabajo y contratos</x:v>
      </x:c>
      <x:c r="D12" s="26" t="str">
        <x:v>63, 64, 65, 66, 67, 68, 89</x:v>
      </x:c>
      <x:c r="E12" s="26" t="str">
        <x:v>Diagnosticar, producir y actualizar los servicios 63, 64, 65, 66, 67, 68, 89 según contrato e insumos disponibles.</x:v>
      </x:c>
      <x:c r="F12" s="26" t="str">
        <x:v>Borrador y matriz de obligaciones</x:v>
      </x:c>
      <x:c r="G12" s="25" t="str">
        <x:v>Anotar archivo, fuente y revisión</x:v>
      </x:c>
      <x:c r="H12" s="25" t="str">
        <x:v>Registrar respuesta y aceptación</x:v>
      </x:c>
      <x:c r="I12" s="25"/>
      <x:c r="J12" s="25"/>
    </x:row>
    <x:row r="13" ht="56" customHeight="1">
      <x:c r="A13" s="3" t="n">
        <x:v>7</x:v>
      </x:c>
      <x:c r="B13" s="24"/>
      <x:c r="C13" s="26" t="str">
        <x:v>Seguridad y salud + Economía y finanzas + Presupuestos y costos</x:v>
      </x:c>
      <x:c r="D13" s="26" t="str">
        <x:v>47, 48, 50, 51, 52, 53, 54, 55, 96</x:v>
      </x:c>
      <x:c r="E13" s="26" t="str">
        <x:v>Diagnosticar, producir y actualizar los servicios 47, 48, 50, 51, 52, 53, 54, 55, 96 según contrato e insumos disponibles.</x:v>
      </x:c>
      <x:c r="F13" s="26" t="str">
        <x:v>Matriz SST y plan preventivo · Análisis y escenarios verificables · Modelo de costos y presupuesto</x:v>
      </x:c>
      <x:c r="G13" s="25" t="str">
        <x:v>Anotar archivo, fuente y revisión</x:v>
      </x:c>
      <x:c r="H13" s="25" t="str">
        <x:v>Registrar respuesta y aceptación</x:v>
      </x:c>
      <x:c r="I13" s="25"/>
      <x:c r="J13" s="25"/>
    </x:row>
    <x:row r="14" ht="56" customHeight="1">
      <x:c r="A14" s="3" t="n">
        <x:v>8</x:v>
      </x:c>
      <x:c r="B14" s="24"/>
      <x:c r="C14" s="26" t="str">
        <x:v>Factibilidad</x:v>
      </x:c>
      <x:c r="D14" s="26" t="str">
        <x:v>56, 104</x:v>
      </x:c>
      <x:c r="E14" s="26" t="str">
        <x:v>Diagnosticar, producir y actualizar los servicios 56, 104 según contrato e insumos disponibles.</x:v>
      </x:c>
      <x:c r="F14" s="26" t="str">
        <x:v>Estudio de factibilidad y modelo</x:v>
      </x:c>
      <x:c r="G14" s="25" t="str">
        <x:v>Anotar archivo, fuente y revisión</x:v>
      </x:c>
      <x:c r="H14" s="25" t="str">
        <x:v>Registrar respuesta y aceptación</x:v>
      </x:c>
      <x:c r="I14" s="25"/>
      <x:c r="J14" s="25"/>
    </x:row>
    <x:row r="15" ht="56" customHeight="1">
      <x:c r="A15" s="3" t="n">
        <x:v>9</x:v>
      </x:c>
      <x:c r="B15" s="24"/>
      <x:c r="C15" s="26" t="str">
        <x:v>Contabilidad auxiliar</x:v>
      </x:c>
      <x:c r="D15" s="26" t="str">
        <x:v>36, 37, 38, 39, 40, 41, 42, 43, 44, 45, 46, 49, 92</x:v>
      </x:c>
      <x:c r="E15" s="26" t="str">
        <x:v>Diagnosticar, producir y actualizar los servicios 36, 37, 38, 39, 40, 41, 42, 43, 44, 45, 46, 49, 92 según contrato e insumos disponibles.</x:v>
      </x:c>
      <x:c r="F15" s="26" t="str">
        <x:v>Conciliación y papeles de cierre</x:v>
      </x:c>
      <x:c r="G15" s="25" t="str">
        <x:v>Anotar archivo, fuente y revisión</x:v>
      </x:c>
      <x:c r="H15" s="25" t="str">
        <x:v>Registrar respuesta y aceptación</x:v>
      </x:c>
      <x:c r="I15" s="25"/>
      <x:c r="J15" s="25"/>
    </x:row>
    <x:row r="16" ht="56" customHeight="1">
      <x:c r="A16" s="3" t="n">
        <x:v>10</x:v>
      </x:c>
      <x:c r="B16" s="24"/>
      <x:c r="C16" s="26" t="str">
        <x:v>Tributos y aportes</x:v>
      </x:c>
      <x:c r="D16" s="26" t="str">
        <x:v>57, 58, 59, 60, 61, 62, 93</x:v>
      </x:c>
      <x:c r="E16" s="26" t="str">
        <x:v>Diagnosticar, producir y actualizar los servicios 57, 58, 59, 60, 61, 62, 93 según contrato e insumos disponibles.</x:v>
      </x:c>
      <x:c r="F16" s="26" t="str">
        <x:v>Calendario y conciliación fiscal auxiliar</x:v>
      </x:c>
      <x:c r="G16" s="25" t="str">
        <x:v>Anotar archivo, fuente y revisión</x:v>
      </x:c>
      <x:c r="H16" s="25" t="str">
        <x:v>Registrar respuesta y aceptación</x:v>
      </x:c>
      <x:c r="I16" s="25"/>
      <x:c r="J16" s="25"/>
    </x:row>
    <x:row r="17" ht="56" customHeight="1">
      <x:c r="A17" s="3" t="n">
        <x:v>11</x:v>
      </x:c>
      <x:c r="B17" s="24"/>
      <x:c r="C17" s="26" t="str">
        <x:v>Cumplimiento</x:v>
      </x:c>
      <x:c r="D17" s="26" t="str">
        <x:v>29, 30, 31, 32, 33, 34, 35</x:v>
      </x:c>
      <x:c r="E17" s="26" t="str">
        <x:v>Diagnosticar, producir y actualizar los servicios 29, 30, 31, 32, 33, 34, 35 según contrato e insumos disponibles.</x:v>
      </x:c>
      <x:c r="F17" s="26" t="str">
        <x:v>Matriz de aplicabilidad y plan</x:v>
      </x:c>
      <x:c r="G17" s="25" t="str">
        <x:v>Anotar archivo, fuente y revisión</x:v>
      </x:c>
      <x:c r="H17" s="25" t="str">
        <x:v>Registrar respuesta y aceptación</x:v>
      </x:c>
      <x:c r="I17" s="25"/>
      <x:c r="J17" s="25"/>
    </x:row>
    <x:row r="18" ht="56" customHeight="1">
      <x:c r="A18" s="3" t="n">
        <x:v>12</x:v>
      </x:c>
      <x:c r="B18" s="24"/>
      <x:c r="C18" s="26" t="str">
        <x:v>Riesgos</x:v>
      </x:c>
      <x:c r="D18" s="26" t="str">
        <x:v>75, 76, 77, 78, 79, 80</x:v>
      </x:c>
      <x:c r="E18" s="26" t="str">
        <x:v>Diagnosticar, producir y actualizar los servicios 75, 76, 77, 78, 79, 80 según contrato e insumos disponibles.</x:v>
      </x:c>
      <x:c r="F18" s="26" t="str">
        <x:v>Mapa de riesgos y plan de tratamiento</x:v>
      </x:c>
      <x:c r="G18" s="25" t="str">
        <x:v>Anotar archivo, fuente y revisión</x:v>
      </x:c>
      <x:c r="H18" s="25" t="str">
        <x:v>Registrar respuesta y aceptación</x:v>
      </x:c>
      <x:c r="I18" s="25"/>
      <x:c r="J18" s="25"/>
    </x:row>
    <x:row r="19" ht="56" customHeight="1">
      <x:c r="A19" s="3" t="n">
        <x:v>13</x:v>
      </x:c>
      <x:c r="B19" s="24"/>
      <x:c r="C19" s="26" t="str">
        <x:v>Indicadores + Seguimiento de proyectos</x:v>
      </x:c>
      <x:c r="D19" s="26" t="str">
        <x:v>98, 99, 100, 101, 102, 103, 105, 106, 107, 108, 109</x:v>
      </x:c>
      <x:c r="E19" s="26" t="str">
        <x:v>Diagnosticar, producir y actualizar los servicios 98, 99, 100, 101, 102, 103, 105, 106, 107, 108, 109 según contrato e insumos disponibles.</x:v>
      </x:c>
      <x:c r="F19" s="26" t="str">
        <x:v>Fichas de indicadores y tablero · Informe físico-financiero y cronograma</x:v>
      </x:c>
      <x:c r="G19" s="25" t="str">
        <x:v>Anotar archivo, fuente y revisión</x:v>
      </x:c>
      <x:c r="H19" s="25" t="str">
        <x:v>Registrar respuesta y aceptación</x:v>
      </x:c>
      <x:c r="I19" s="25"/>
      <x:c r="J19" s="25"/>
    </x:row>
    <x:row r="20" ht="56" customHeight="1">
      <x:c r="A20" s="3" t="n">
        <x:v>14</x:v>
      </x:c>
      <x:c r="B20" s="24"/>
      <x:c r="C20" s="26" t="str">
        <x:v>Compras y proveedores + Inventarios y activos + Procesos</x:v>
      </x:c>
      <x:c r="D20" s="26" t="str">
        <x:v>110, 111, 112, 113, 114, 115, 116</x:v>
      </x:c>
      <x:c r="E20" s="26" t="str">
        <x:v>Diagnosticar, producir y actualizar los servicios 110, 111, 112, 113, 114, 115, 116 según contrato e insumos disponibles.</x:v>
      </x:c>
      <x:c r="F20" s="26" t="str">
        <x:v>Comparativo de ofertas y expediente · Control de existencias y mantenimiento · Mapa de proceso y plan de mejora</x:v>
      </x:c>
      <x:c r="G20" s="25" t="str">
        <x:v>Anotar archivo, fuente y revisión</x:v>
      </x:c>
      <x:c r="H20" s="25" t="str">
        <x:v>Registrar respuesta y aceptación</x:v>
      </x:c>
      <x:c r="I20" s="25"/>
      <x:c r="J20" s="25"/>
    </x:row>
    <x:row r="21" ht="56" customHeight="1">
      <x:c r="A21" s="3" t="n">
        <x:v>15</x:v>
      </x:c>
      <x:c r="B21" s="24"/>
      <x:c r="C21" s="26" t="str">
        <x:v>Comercial y clientes</x:v>
      </x:c>
      <x:c r="D21" s="26" t="str">
        <x:v>117, 118, 119, 120, 121, 122</x:v>
      </x:c>
      <x:c r="E21" s="26" t="str">
        <x:v>Diagnosticar, producir y actualizar los servicios 117, 118, 119, 120, 121, 122 según contrato e insumos disponibles.</x:v>
      </x:c>
      <x:c r="F21" s="26" t="str">
        <x:v>Propuesta comercial y seguimiento</x:v>
      </x:c>
      <x:c r="G21" s="25" t="str">
        <x:v>Anotar archivo, fuente y revisión</x:v>
      </x:c>
      <x:c r="H21" s="25" t="str">
        <x:v>Registrar respuesta y aceptación</x:v>
      </x:c>
      <x:c r="I21" s="25"/>
      <x:c r="J21" s="25"/>
    </x:row>
    <x:row r="22" ht="56" customHeight="1">
      <x:c r="A22" s="3" t="n">
        <x:v>16</x:v>
      </x:c>
      <x:c r="B22" s="24"/>
      <x:c r="C22" s="26" t="str">
        <x:v>Comunicación</x:v>
      </x:c>
      <x:c r="D22" s="26" t="str">
        <x:v>123, 124, 125, 126, 127, 128, 129</x:v>
      </x:c>
      <x:c r="E22" s="26" t="str">
        <x:v>Diagnosticar, producir y actualizar los servicios 123, 124, 125, 126, 127, 128, 129 según contrato e insumos disponibles.</x:v>
      </x:c>
      <x:c r="F22" s="26" t="str">
        <x:v>Contenido o guion multiformato</x:v>
      </x:c>
      <x:c r="G22" s="25" t="str">
        <x:v>Anotar archivo, fuente y revisión</x:v>
      </x:c>
      <x:c r="H22" s="25" t="str">
        <x:v>Registrar respuesta y aceptación</x:v>
      </x:c>
      <x:c r="I22" s="25"/>
      <x:c r="J22" s="25"/>
    </x:row>
    <x:row r="23" ht="56" customHeight="1">
      <x:c r="A23" s="3" t="n">
        <x:v>17</x:v>
      </x:c>
      <x:c r="B23" s="24"/>
      <x:c r="C23" s="26" t="str">
        <x:v>Asistentes internos + Automatización</x:v>
      </x:c>
      <x:c r="D23" s="26" t="str">
        <x:v>130, 131, 132, 133, 134, 135, 136, 138, 139, 140</x:v>
      </x:c>
      <x:c r="E23" s="26" t="str">
        <x:v>Diagnosticar, producir y actualizar los servicios 130, 131, 132, 133, 134, 135, 136, 138, 139, 140 según contrato e insumos disponibles.</x:v>
      </x:c>
      <x:c r="F23" s="26" t="str">
        <x:v>Asistente configurado y casos de prueba · Flujo, plantillas y procedimiento</x:v>
      </x:c>
      <x:c r="G23" s="25" t="str">
        <x:v>Anotar archivo, fuente y revisión</x:v>
      </x:c>
      <x:c r="H23" s="25" t="str">
        <x:v>Registrar respuesta y aceptación</x:v>
      </x:c>
      <x:c r="I23" s="25"/>
      <x:c r="J23" s="25"/>
    </x:row>
    <x:row r="24" ht="56" customHeight="1">
      <x:c r="A24" s="3" t="n">
        <x:v>18</x:v>
      </x:c>
      <x:c r="B24" s="24"/>
      <x:c r="C24" s="26" t="str">
        <x:v>Diagnóstico e implantación + Nuevos actores económicos + Reuniones y acuerdos</x:v>
      </x:c>
      <x:c r="D24" s="26" t="str">
        <x:v>17, 18, 19, 20, 21, 22, 137, 141, 142, 143, 144</x:v>
      </x:c>
      <x:c r="E24" s="26" t="str">
        <x:v>Diagnosticar, producir y actualizar los servicios 17, 18, 19, 20, 21, 22, 137, 141, 142, 143, 144 según contrato e insumos disponibles.</x:v>
      </x:c>
      <x:c r="F24" s="26" t="str">
        <x:v>Diagnóstico y hoja de ruta 30/60/90 · Ruta de organización y expediente preparatorio · Agenda y seguimiento de tareas</x:v>
      </x:c>
      <x:c r="G24" s="25" t="str">
        <x:v>Anotar archivo, fuente y revisión</x:v>
      </x:c>
      <x:c r="H24" s="25" t="str">
        <x:v>Registrar respuesta y aceptación</x:v>
      </x:c>
      <x:c r="I24" s="25"/>
      <x:c r="J24" s="25"/>
    </x:row>
    <x:row r="25" ht="56" customHeight="1">
      <x:c r="A25" s="3" t="n">
        <x:v>19</x:v>
      </x:c>
      <x:c r="B25" s="24"/>
      <x:c r="C25" s="26" t="str">
        <x:v>Calidad, entregas y aceptación</x:v>
      </x:c>
      <x:c r="D25" s="26" t="str">
        <x:v>Servicios contratados pendientes</x:v>
      </x:c>
      <x:c r="E25" s="26" t="str">
        <x:v>Revisar cifras, fuentes y vigencia; exportar entregables revisados y registrar aceptación.</x:v>
      </x:c>
      <x:c r="F25" s="26" t="str">
        <x:v>Registro de resultados, pendientes y evidencia</x:v>
      </x:c>
      <x:c r="G25" s="25" t="str">
        <x:v>Anotar archivo, fuente y revisión</x:v>
      </x:c>
      <x:c r="H25" s="25" t="str">
        <x:v>Registrar respuesta y aceptación</x:v>
      </x:c>
      <x:c r="I25" s="25"/>
      <x:c r="J25" s="25"/>
    </x:row>
    <x:row r="26" ht="56" customHeight="1">
      <x:c r="A26" s="3" t="n">
        <x:v>20</x:v>
      </x:c>
      <x:c r="B26" s="24"/>
      <x:c r="C26" s="26" t="str">
        <x:v>Informe, replanificación y respaldo</x:v>
      </x:c>
      <x:c r="D26" s="26" t="str">
        <x:v>Servicios contratados pendientes</x:v>
      </x:c>
      <x:c r="E26" s="26" t="str">
        <x:v>Comparar lo contratado, entregado y aceptado; informar resultados reales, pendientes y respaldar.</x:v>
      </x:c>
      <x:c r="F26" s="26" t="str">
        <x:v>Registro de resultados, pendientes y evidencia</x:v>
      </x:c>
      <x:c r="G26" s="25" t="str">
        <x:v>Anotar archivo, fuente y revisión</x:v>
      </x:c>
      <x:c r="H26" s="25" t="str">
        <x:v>Registrar respuesta y aceptación</x:v>
      </x:c>
      <x:c r="I26" s="25"/>
      <x:c r="J26" s="25"/>
    </x:row>
    <x:row r="27" ht="56" customHeight="1">
      <x:c r="A27" s="3" t="n">
        <x:v>21</x:v>
      </x:c>
      <x:c r="B27" s="24"/>
      <x:c r="C27" s="26" t="str">
        <x:v>Revisión de vencimientos</x:v>
      </x:c>
      <x:c r="D27" s="26" t="str">
        <x:v>Servicios contratados pendientes</x:v>
      </x:c>
      <x:c r="E27" s="26" t="str">
        <x:v>Resolver servicios vencidos y avisar bloqueos al cliente.</x:v>
      </x:c>
      <x:c r="F27" s="26" t="str">
        <x:v>Registro de resultados, pendientes y evidencia</x:v>
      </x:c>
      <x:c r="G27" s="25" t="str">
        <x:v>Anotar archivo, fuente y revisión</x:v>
      </x:c>
      <x:c r="H27" s="25" t="str">
        <x:v>Registrar respuesta y aceptación</x:v>
      </x:c>
      <x:c r="I27" s="25"/>
      <x:c r="J27" s="25"/>
    </x:row>
    <x:row r="28" ht="56" customHeight="1">
      <x:c r="A28" s="3" t="n">
        <x:v>22</x:v>
      </x:c>
      <x:c r="B28" s="24"/>
      <x:c r="C28" s="26" t="str">
        <x:v>Corrección y formación interna</x:v>
      </x:c>
      <x:c r="D28" s="26" t="str">
        <x:v>Servicios contratados pendientes</x:v>
      </x:c>
      <x:c r="E28" s="26" t="str">
        <x:v>Corregir observaciones; actualizar procedimientos y capacitación interna.</x:v>
      </x:c>
      <x:c r="F28" s="26" t="str">
        <x:v>Registro de resultados, pendientes y evidencia</x:v>
      </x:c>
      <x:c r="G28" s="25" t="str">
        <x:v>Anotar archivo, fuente y revisión</x:v>
      </x:c>
      <x:c r="H28" s="25" t="str">
        <x:v>Registrar respuesta y aceptación</x:v>
      </x:c>
      <x:c r="I28" s="25"/>
      <x:c r="J28" s="25"/>
    </x:row>
    <x:row r="29" ht="56" customHeight="1">
      <x:c r="A29" s="3" t="n">
        <x:v>23</x:v>
      </x:c>
      <x:c r="B29" s="24"/>
      <x:c r="C29" s="26" t="str">
        <x:v>Contingencias y atención comercial</x:v>
      </x:c>
      <x:c r="D29" s="26" t="str">
        <x:v>Servicios contratados pendientes</x:v>
      </x:c>
      <x:c r="E29" s="26" t="str">
        <x:v>Atender solicitudes nuevas o tareas trasladadas con autorización.</x:v>
      </x:c>
      <x:c r="F29" s="26" t="str">
        <x:v>Registro de resultados, pendientes y evidencia</x:v>
      </x:c>
      <x:c r="G29" s="25" t="str">
        <x:v>Anotar archivo, fuente y revisión</x:v>
      </x:c>
      <x:c r="H29" s="25" t="str">
        <x:v>Registrar respuesta y aceptación</x:v>
      </x:c>
      <x:c r="I29" s="25"/>
      <x:c r="J29" s="25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</x:row>
  </x:sheetData>
  <x:dataValidations count="1">
    <x:dataValidation type="list" sqref="I7:I29">
      <x:formula1>"Por iniciar,En desarrollo,En revisión,Entregado,Aceptado,Bloqueado"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3983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41" hidden="0" customWidth="1"/>
    <x:col min="4" max="4" width="13" hidden="0" customWidth="1"/>
    <x:col min="5" max="5" width="43" hidden="0" customWidth="1"/>
    <x:col min="6" max="6" width="58" hidden="0" customWidth="1"/>
    <x:col min="7" max="7" width="12" hidden="0" customWidth="1"/>
    <x:col min="8" max="8" width="19" hidden="0" customWidth="1"/>
    <x:col min="9" max="9" width="22" hidden="0" customWidth="1"/>
    <x:col min="10" max="10" width="15" hidden="0" customWidth="1"/>
    <x:col min="11" max="11" width="15" hidden="0" customWidth="1"/>
    <x:col min="12" max="12" width="43" hidden="0" customWidth="1"/>
    <x:col min="13" max="13" width="16" hidden="0" customWidth="1"/>
    <x:col min="14" max="14" width="40" hidden="0" customWidth="1"/>
    <x:col min="15" max="15" width="40" hidden="0" customWidth="1"/>
    <x:col min="16" max="16" width="17" hidden="0" customWidth="1"/>
    <x:col min="17" max="17" width="18" hidden="0" customWidth="1"/>
    <x:col min="18" max="18" width="13" hidden="0" customWidth="1"/>
    <x:col min="19" max="19" width="15" hidden="0" customWidth="1"/>
    <x:col min="20" max="20" width="4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4" t="str">
        <x:v>Control por servicio contratado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>
      <x:c r="A4" s="3" t="str">
        <x:v>Cada fila representa un resultado entregable. Complete los campos amarillos y filtre por Alerta, prioridad o jornada foco.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</x:row>
    <x:row r="6" ht="31" customHeight="1">
      <x:c r="A6" s="22" t="str">
        <x:v>ID</x:v>
      </x:c>
      <x:c r="B6" s="22" t="str">
        <x:v>Área</x:v>
      </x:c>
      <x:c r="C6" s="22" t="str">
        <x:v>Servicio</x:v>
      </x:c>
      <x:c r="D6" s="22" t="str">
        <x:v>Contratado</x:v>
      </x:c>
      <x:c r="E6" s="22" t="str">
        <x:v>Insumos requeridos</x:v>
      </x:c>
      <x:c r="F6" s="22" t="str">
        <x:v>Entregable comprometido</x:v>
      </x:c>
      <x:c r="G6" s="22" t="str">
        <x:v>Jornada foco</x:v>
      </x:c>
      <x:c r="H6" s="22" t="str">
        <x:v>Estado</x:v>
      </x:c>
      <x:c r="I6" s="22" t="str">
        <x:v>Responsable</x:v>
      </x:c>
      <x:c r="J6" s="22" t="str">
        <x:v>Última acción</x:v>
      </x:c>
      <x:c r="K6" s="22" t="str">
        <x:v>Vencimiento</x:v>
      </x:c>
      <x:c r="L6" s="22" t="str">
        <x:v>Próxima acción</x:v>
      </x:c>
      <x:c r="M6" s="22" t="str">
        <x:v>Insumos completos</x:v>
      </x:c>
      <x:c r="N6" s="22" t="str">
        <x:v>Evidencia / fuente</x:v>
      </x:c>
      <x:c r="O6" s="22" t="str">
        <x:v>Archivo entregado</x:v>
      </x:c>
      <x:c r="P6" s="22" t="str">
        <x:v>Aceptación cliente</x:v>
      </x:c>
      <x:c r="Q6" s="22" t="str">
        <x:v>Fecha aceptación</x:v>
      </x:c>
      <x:c r="R6" s="22" t="str">
        <x:v>Prioridad</x:v>
      </x:c>
      <x:c r="S6" s="22" t="str">
        <x:v>Alerta</x:v>
      </x:c>
      <x:c r="T6" s="22" t="str">
        <x:v>Observaciones</x:v>
      </x:c>
    </x:row>
    <x:row r="7" ht="52" customHeight="1">
      <x:c r="A7" s="3" t="n">
        <x:v>1</x:v>
      </x:c>
      <x:c r="B7" s="26" t="str">
        <x:v>Redacción y normalización documental</x:v>
      </x:c>
      <x:c r="C7" s="26" t="str">
        <x:v>Redacción de cartas y comunicaciones</x:v>
      </x:c>
      <x:c r="D7" s="7"/>
      <x:c r="E7" s="26" t="str">
        <x:v>Objetivo, destinatario, hechos y tono</x:v>
      </x:c>
      <x:c r="F7" s="26" t="str">
        <x:v>Documento editable, versión final y registro de datos utilizados.</x:v>
      </x:c>
      <x:c r="G7" s="3" t="n">
        <x:v>1</x:v>
      </x:c>
      <x:c r="H7" s="29"/>
      <x:c r="I7" s="29"/>
      <x:c r="J7" s="30"/>
      <x:c r="K7" s="30"/>
      <x:c r="L7" s="29"/>
      <x:c r="M7" s="29"/>
      <x:c r="N7" s="29"/>
      <x:c r="O7" s="29"/>
      <x:c r="P7" s="29"/>
      <x:c r="Q7" s="30"/>
      <x:c r="R7" s="29"/>
      <x:c r="S7" s="3" t="str">
        <x:f>IF(D7&lt;&gt;"Sí","",IF(P7="Sí","Cerrado",IF(K7="","Sin fecha",IF(K7&lt;TODAY(),"Vencido",IF(K7&lt;=TODAY()+3,"Próximo","En curso")))))</x:f>
      </x:c>
      <x:c r="T7" s="3"/>
    </x:row>
    <x:row r="8" ht="52" customHeight="1">
      <x:c r="A8" s="3" t="n">
        <x:v>2</x:v>
      </x:c>
      <x:c r="B8" s="26" t="str">
        <x:v>Redacción y normalización documental</x:v>
      </x:c>
      <x:c r="C8" s="26" t="str">
        <x:v>Elaboración de informes ejecutivos</x:v>
      </x:c>
      <x:c r="D8" s="7"/>
      <x:c r="E8" s="26" t="str">
        <x:v>Objetivo, destinatario, hechos y tono</x:v>
      </x:c>
      <x:c r="F8" s="26" t="str">
        <x:v>Informe estructurado, resumen para dirección y relación de evidencias.</x:v>
      </x:c>
      <x:c r="G8" s="3" t="n">
        <x:v>1</x:v>
      </x:c>
      <x:c r="H8" s="29"/>
      <x:c r="I8" s="29"/>
      <x:c r="J8" s="30"/>
      <x:c r="K8" s="30"/>
      <x:c r="L8" s="29"/>
      <x:c r="M8" s="29"/>
      <x:c r="N8" s="29"/>
      <x:c r="O8" s="29"/>
      <x:c r="P8" s="29"/>
      <x:c r="Q8" s="30"/>
      <x:c r="R8" s="29"/>
      <x:c r="S8" s="3" t="str">
        <x:f>IF(D8&lt;&gt;"Sí","",IF(P8="Sí","Cerrado",IF(K8="","Sin fecha",IF(K8&lt;TODAY(),"Vencido",IF(K8&lt;=TODAY()+3,"Próximo","En curso")))))</x:f>
      </x:c>
      <x:c r="T8" s="3"/>
    </x:row>
    <x:row r="9" ht="52" customHeight="1">
      <x:c r="A9" s="3" t="n">
        <x:v>3</x:v>
      </x:c>
      <x:c r="B9" s="26" t="str">
        <x:v>Redacción y normalización documental</x:v>
      </x:c>
      <x:c r="C9" s="26" t="str">
        <x:v>Preparación de información para reuniones; actas y certificaciones excluidas</x:v>
      </x:c>
      <x:c r="D9" s="7"/>
      <x:c r="E9" s="26" t="str">
        <x:v>Objetivo, destinatario, hechos y tono</x:v>
      </x:c>
      <x:c r="F9" s="26" t="str">
        <x:v>Agenda y paquete de información con fuentes; actas y certificaciones excluidas.</x:v>
      </x:c>
      <x:c r="G9" s="3" t="n">
        <x:v>1</x:v>
      </x:c>
      <x:c r="H9" s="29"/>
      <x:c r="I9" s="29"/>
      <x:c r="J9" s="30"/>
      <x:c r="K9" s="30"/>
      <x:c r="L9" s="29"/>
      <x:c r="M9" s="29"/>
      <x:c r="N9" s="29"/>
      <x:c r="O9" s="29"/>
      <x:c r="P9" s="29"/>
      <x:c r="Q9" s="30"/>
      <x:c r="R9" s="29"/>
      <x:c r="S9" s="3" t="str">
        <x:f>IF(D9&lt;&gt;"Sí","",IF(P9="Sí","Cerrado",IF(K9="","Sin fecha",IF(K9&lt;TODAY(),"Vencido",IF(K9&lt;=TODAY()+3,"Próximo","En curso")))))</x:f>
      </x:c>
      <x:c r="T9" s="3"/>
    </x:row>
    <x:row r="10" ht="52" customHeight="1">
      <x:c r="A10" s="3" t="n">
        <x:v>4</x:v>
      </x:c>
      <x:c r="B10" s="26" t="str">
        <x:v>Redacción y normalización documental</x:v>
      </x:c>
      <x:c r="C10" s="26" t="str">
        <x:v>Preparación de resoluciones y decisiones internas</x:v>
      </x:c>
      <x:c r="D10" s="7"/>
      <x:c r="E10" s="26" t="str">
        <x:v>Objetivo, destinatario, hechos y tono</x:v>
      </x:c>
      <x:c r="F10" s="26" t="str">
        <x:v>Borrador normalizado y lista de comprobación jurídica y administrativa.</x:v>
      </x:c>
      <x:c r="G10" s="3" t="n">
        <x:v>1</x:v>
      </x:c>
      <x:c r="H10" s="29"/>
      <x:c r="I10" s="29"/>
      <x:c r="J10" s="30"/>
      <x:c r="K10" s="30"/>
      <x:c r="L10" s="29"/>
      <x:c r="M10" s="29"/>
      <x:c r="N10" s="29"/>
      <x:c r="O10" s="29"/>
      <x:c r="P10" s="29"/>
      <x:c r="Q10" s="30"/>
      <x:c r="R10" s="29"/>
      <x:c r="S10" s="3" t="str">
        <x:f>IF(D10&lt;&gt;"Sí","",IF(P10="Sí","Cerrado",IF(K10="","Sin fecha",IF(K10&lt;TODAY(),"Vencido",IF(K10&lt;=TODAY()+3,"Próximo","En curso")))))</x:f>
      </x:c>
      <x:c r="T10" s="3"/>
    </x:row>
    <x:row r="11" ht="52" customHeight="1">
      <x:c r="A11" s="3" t="n">
        <x:v>5</x:v>
      </x:c>
      <x:c r="B11" s="26" t="str">
        <x:v>Redacción y normalización documental</x:v>
      </x:c>
      <x:c r="C11" s="26" t="str">
        <x:v>Creación de manuales y procedimientos</x:v>
      </x:c>
      <x:c r="D11" s="7"/>
      <x:c r="E11" s="26" t="str">
        <x:v>Objetivo, destinatario, hechos y tono</x:v>
      </x:c>
      <x:c r="F11" s="26" t="str">
        <x:v>Manual, procedimiento, diagrama de responsabilidades y formatos asociados.</x:v>
      </x:c>
      <x:c r="G11" s="3" t="n">
        <x:v>1</x:v>
      </x:c>
      <x:c r="H11" s="29"/>
      <x:c r="I11" s="29"/>
      <x:c r="J11" s="30"/>
      <x:c r="K11" s="30"/>
      <x:c r="L11" s="29"/>
      <x:c r="M11" s="29"/>
      <x:c r="N11" s="29"/>
      <x:c r="O11" s="29"/>
      <x:c r="P11" s="29"/>
      <x:c r="Q11" s="30"/>
      <x:c r="R11" s="29"/>
      <x:c r="S11" s="3" t="str">
        <x:f>IF(D11&lt;&gt;"Sí","",IF(P11="Sí","Cerrado",IF(K11="","Sin fecha",IF(K11&lt;TODAY(),"Vencido",IF(K11&lt;=TODAY()+3,"Próximo","En curso")))))</x:f>
      </x:c>
      <x:c r="T11" s="3"/>
    </x:row>
    <x:row r="12" ht="52" customHeight="1">
      <x:c r="A12" s="3" t="n">
        <x:v>6</x:v>
      </x:c>
      <x:c r="B12" s="26" t="str">
        <x:v>Redacción y normalización documental</x:v>
      </x:c>
      <x:c r="C12" s="26" t="str">
        <x:v>Actualización controlada de documentos</x:v>
      </x:c>
      <x:c r="D12" s="7"/>
      <x:c r="E12" s="26" t="str">
        <x:v>Objetivo, destinatario, hechos y tono</x:v>
      </x:c>
      <x:c r="F12" s="26" t="str">
        <x:v>Nueva versión, matriz de cambios, fecha de vigencia, responsables de aprobación y relación de copias sustituidas.</x:v>
      </x:c>
      <x:c r="G12" s="3" t="n">
        <x:v>1</x:v>
      </x:c>
      <x:c r="H12" s="29"/>
      <x:c r="I12" s="29"/>
      <x:c r="J12" s="30"/>
      <x:c r="K12" s="30"/>
      <x:c r="L12" s="29"/>
      <x:c r="M12" s="29"/>
      <x:c r="N12" s="29"/>
      <x:c r="O12" s="29"/>
      <x:c r="P12" s="29"/>
      <x:c r="Q12" s="30"/>
      <x:c r="R12" s="29"/>
      <x:c r="S12" s="3" t="str">
        <x:f>IF(D12&lt;&gt;"Sí","",IF(P12="Sí","Cerrado",IF(K12="","Sin fecha",IF(K12&lt;TODAY(),"Vencido",IF(K12&lt;=TODAY()+3,"Próximo","En curso")))))</x:f>
      </x:c>
      <x:c r="T12" s="3"/>
    </x:row>
    <x:row r="13" ht="52" customHeight="1">
      <x:c r="A13" s="3" t="n">
        <x:v>7</x:v>
      </x:c>
      <x:c r="B13" s="26" t="str">
        <x:v>Redacción y normalización documental</x:v>
      </x:c>
      <x:c r="C13" s="26" t="str">
        <x:v>Revisión y actualización de procedimientos</x:v>
      </x:c>
      <x:c r="D13" s="7"/>
      <x:c r="E13" s="26" t="str">
        <x:v>Objetivo, destinatario, hechos y tono</x:v>
      </x:c>
      <x:c r="F13" s="26" t="str">
        <x:v>Procedimiento actualizado, diagrama, formatos vinculados y plan de implantación.</x:v>
      </x:c>
      <x:c r="G13" s="3" t="n">
        <x:v>1</x:v>
      </x:c>
      <x:c r="H13" s="29"/>
      <x:c r="I13" s="29"/>
      <x:c r="J13" s="30"/>
      <x:c r="K13" s="30"/>
      <x:c r="L13" s="29"/>
      <x:c r="M13" s="29"/>
      <x:c r="N13" s="29"/>
      <x:c r="O13" s="29"/>
      <x:c r="P13" s="29"/>
      <x:c r="Q13" s="30"/>
      <x:c r="R13" s="29"/>
      <x:c r="S13" s="3" t="str">
        <x:f>IF(D13&lt;&gt;"Sí","",IF(P13="Sí","Cerrado",IF(K13="","Sin fecha",IF(K13&lt;TODAY(),"Vencido",IF(K13&lt;=TODAY()+3,"Próximo","En curso")))))</x:f>
      </x:c>
      <x:c r="T13" s="3"/>
    </x:row>
    <x:row r="14" ht="52" customHeight="1">
      <x:c r="A14" s="3" t="n">
        <x:v>8</x:v>
      </x:c>
      <x:c r="B14" s="26" t="str">
        <x:v>Redacción y normalización documental</x:v>
      </x:c>
      <x:c r="C14" s="26" t="str">
        <x:v>Redacción y actualización de reglamentos internos</x:v>
      </x:c>
      <x:c r="D14" s="7"/>
      <x:c r="E14" s="26" t="str">
        <x:v>Objetivo, destinatario, hechos y tono</x:v>
      </x:c>
      <x:c r="F14" s="26" t="str">
        <x:v>Borrador, cuadro comparativo, control de concordancia, versión para consulta y versión final para aprobación.</x:v>
      </x:c>
      <x:c r="G14" s="3" t="n">
        <x:v>1</x:v>
      </x:c>
      <x:c r="H14" s="29"/>
      <x:c r="I14" s="29"/>
      <x:c r="J14" s="30"/>
      <x:c r="K14" s="30"/>
      <x:c r="L14" s="29"/>
      <x:c r="M14" s="29"/>
      <x:c r="N14" s="29"/>
      <x:c r="O14" s="29"/>
      <x:c r="P14" s="29"/>
      <x:c r="Q14" s="30"/>
      <x:c r="R14" s="29"/>
      <x:c r="S14" s="3" t="str">
        <x:f>IF(D14&lt;&gt;"Sí","",IF(P14="Sí","Cerrado",IF(K14="","Sin fecha",IF(K14&lt;TODAY(),"Vencido",IF(K14&lt;=TODAY()+3,"Próximo","En curso")))))</x:f>
      </x:c>
      <x:c r="T14" s="3"/>
    </x:row>
    <x:row r="15" ht="52" customHeight="1">
      <x:c r="A15" s="3" t="n">
        <x:v>9</x:v>
      </x:c>
      <x:c r="B15" s="26" t="str">
        <x:v>Redacción y normalización documental</x:v>
      </x:c>
      <x:c r="C15" s="26" t="str">
        <x:v>Uniformidad de documentos empresariales</x:v>
      </x:c>
      <x:c r="D15" s="7"/>
      <x:c r="E15" s="26" t="str">
        <x:v>Objetivo, destinatario, hechos y tono</x:v>
      </x:c>
      <x:c r="F15" s="26" t="str">
        <x:v>Libro de estilo, plantillas maestras y modelos reutilizables.</x:v>
      </x:c>
      <x:c r="G15" s="3" t="n">
        <x:v>1</x:v>
      </x:c>
      <x:c r="H15" s="29"/>
      <x:c r="I15" s="29"/>
      <x:c r="J15" s="30"/>
      <x:c r="K15" s="30"/>
      <x:c r="L15" s="29"/>
      <x:c r="M15" s="29"/>
      <x:c r="N15" s="29"/>
      <x:c r="O15" s="29"/>
      <x:c r="P15" s="29"/>
      <x:c r="Q15" s="30"/>
      <x:c r="R15" s="29"/>
      <x:c r="S15" s="3" t="str">
        <x:f>IF(D15&lt;&gt;"Sí","",IF(P15="Sí","Cerrado",IF(K15="","Sin fecha",IF(K15&lt;TODAY(),"Vencido",IF(K15&lt;=TODAY()+3,"Próximo","En curso")))))</x:f>
      </x:c>
      <x:c r="T15" s="3"/>
    </x:row>
    <x:row r="16" ht="52" customHeight="1">
      <x:c r="A16" s="3" t="n">
        <x:v>10</x:v>
      </x:c>
      <x:c r="B16" s="26" t="str">
        <x:v>Redacción y normalización documental</x:v>
      </x:c>
      <x:c r="C16" s="26" t="str">
        <x:v>Conversión de notas en documentos formales</x:v>
      </x:c>
      <x:c r="D16" s="7"/>
      <x:c r="E16" s="26" t="str">
        <x:v>Objetivo, destinatario, hechos y tono</x:v>
      </x:c>
      <x:c r="F16" s="26" t="str">
        <x:v>Documento formal con campos pendientes claramente identificados.</x:v>
      </x:c>
      <x:c r="G16" s="3" t="n">
        <x:v>1</x:v>
      </x:c>
      <x:c r="H16" s="29"/>
      <x:c r="I16" s="29"/>
      <x:c r="J16" s="30"/>
      <x:c r="K16" s="30"/>
      <x:c r="L16" s="29"/>
      <x:c r="M16" s="29"/>
      <x:c r="N16" s="29"/>
      <x:c r="O16" s="29"/>
      <x:c r="P16" s="29"/>
      <x:c r="Q16" s="30"/>
      <x:c r="R16" s="29"/>
      <x:c r="S16" s="3" t="str">
        <x:f>IF(D16&lt;&gt;"Sí","",IF(P16="Sí","Cerrado",IF(K16="","Sin fecha",IF(K16&lt;TODAY(),"Vencido",IF(K16&lt;=TODAY()+3,"Próximo","En curso")))))</x:f>
      </x:c>
      <x:c r="T16" s="3"/>
    </x:row>
    <x:row r="17" ht="52" customHeight="1">
      <x:c r="A17" s="3" t="n">
        <x:v>11</x:v>
      </x:c>
      <x:c r="B17" s="26" t="str">
        <x:v>Revisión y análisis documental</x:v>
      </x:c>
      <x:c r="C17" s="26" t="str">
        <x:v>Corrección ortográfica y gramatical</x:v>
      </x:c>
      <x:c r="D17" s="7"/>
      <x:c r="E17" s="26" t="str">
        <x:v>Documento base, versión anterior y criterios</x:v>
      </x:c>
      <x:c r="F17" s="26" t="str">
        <x:v>Versión corregida y, cuando se solicite, relación de cambios relevantes.</x:v>
      </x:c>
      <x:c r="G17" s="3" t="n">
        <x:v>2</x:v>
      </x:c>
      <x:c r="H17" s="29"/>
      <x:c r="I17" s="29"/>
      <x:c r="J17" s="30"/>
      <x:c r="K17" s="30"/>
      <x:c r="L17" s="29"/>
      <x:c r="M17" s="29"/>
      <x:c r="N17" s="29"/>
      <x:c r="O17" s="29"/>
      <x:c r="P17" s="29"/>
      <x:c r="Q17" s="30"/>
      <x:c r="R17" s="29"/>
      <x:c r="S17" s="3" t="str">
        <x:f>IF(D17&lt;&gt;"Sí","",IF(P17="Sí","Cerrado",IF(K17="","Sin fecha",IF(K17&lt;TODAY(),"Vencido",IF(K17&lt;=TODAY()+3,"Próximo","En curso")))))</x:f>
      </x:c>
      <x:c r="T17" s="3"/>
    </x:row>
    <x:row r="18" ht="52" customHeight="1">
      <x:c r="A18" s="3" t="n">
        <x:v>12</x:v>
      </x:c>
      <x:c r="B18" s="26" t="str">
        <x:v>Revisión y análisis documental</x:v>
      </x:c>
      <x:c r="C18" s="26" t="str">
        <x:v>Revisión de coherencia y consistencia</x:v>
      </x:c>
      <x:c r="D18" s="7"/>
      <x:c r="E18" s="26" t="str">
        <x:v>Documento base, versión anterior y criterios</x:v>
      </x:c>
      <x:c r="F18" s="26" t="str">
        <x:v>Informe de inconsistencias y versión corregida para aprobación.</x:v>
      </x:c>
      <x:c r="G18" s="3" t="n">
        <x:v>2</x:v>
      </x:c>
      <x:c r="H18" s="29"/>
      <x:c r="I18" s="29"/>
      <x:c r="J18" s="30"/>
      <x:c r="K18" s="30"/>
      <x:c r="L18" s="29"/>
      <x:c r="M18" s="29"/>
      <x:c r="N18" s="29"/>
      <x:c r="O18" s="29"/>
      <x:c r="P18" s="29"/>
      <x:c r="Q18" s="30"/>
      <x:c r="R18" s="29"/>
      <x:c r="S18" s="3" t="str">
        <x:f>IF(D18&lt;&gt;"Sí","",IF(P18="Sí","Cerrado",IF(K18="","Sin fecha",IF(K18&lt;TODAY(),"Vencido",IF(K18&lt;=TODAY()+3,"Próximo","En curso")))))</x:f>
      </x:c>
      <x:c r="T18" s="3"/>
    </x:row>
    <x:row r="19" ht="52" customHeight="1">
      <x:c r="A19" s="3" t="n">
        <x:v>13</x:v>
      </x:c>
      <x:c r="B19" s="26" t="str">
        <x:v>Revisión y análisis documental</x:v>
      </x:c>
      <x:c r="C19" s="26" t="str">
        <x:v>Resumen de documentos extensos</x:v>
      </x:c>
      <x:c r="D19" s="7"/>
      <x:c r="E19" s="26" t="str">
        <x:v>Documento base, versión anterior y criterios</x:v>
      </x:c>
      <x:c r="F19" s="26" t="str">
        <x:v>Resumen ejecutivo, ficha de lectura y lista de acciones.</x:v>
      </x:c>
      <x:c r="G19" s="3" t="n">
        <x:v>2</x:v>
      </x:c>
      <x:c r="H19" s="29"/>
      <x:c r="I19" s="29"/>
      <x:c r="J19" s="30"/>
      <x:c r="K19" s="30"/>
      <x:c r="L19" s="29"/>
      <x:c r="M19" s="29"/>
      <x:c r="N19" s="29"/>
      <x:c r="O19" s="29"/>
      <x:c r="P19" s="29"/>
      <x:c r="Q19" s="30"/>
      <x:c r="R19" s="29"/>
      <x:c r="S19" s="3" t="str">
        <x:f>IF(D19&lt;&gt;"Sí","",IF(P19="Sí","Cerrado",IF(K19="","Sin fecha",IF(K19&lt;TODAY(),"Vencido",IF(K19&lt;=TODAY()+3,"Próximo","En curso")))))</x:f>
      </x:c>
      <x:c r="T19" s="3"/>
    </x:row>
    <x:row r="20" ht="52" customHeight="1">
      <x:c r="A20" s="3" t="n">
        <x:v>14</x:v>
      </x:c>
      <x:c r="B20" s="26" t="str">
        <x:v>Revisión y análisis documental</x:v>
      </x:c>
      <x:c r="C20" s="26" t="str">
        <x:v>Comparación de versiones</x:v>
      </x:c>
      <x:c r="D20" s="7"/>
      <x:c r="E20" s="26" t="str">
        <x:v>Documento base, versión anterior y criterios</x:v>
      </x:c>
      <x:c r="F20" s="26" t="str">
        <x:v>Matriz de cambios y recomendación de puntos que requieren decisión.</x:v>
      </x:c>
      <x:c r="G20" s="3" t="n">
        <x:v>2</x:v>
      </x:c>
      <x:c r="H20" s="29"/>
      <x:c r="I20" s="29"/>
      <x:c r="J20" s="30"/>
      <x:c r="K20" s="30"/>
      <x:c r="L20" s="29"/>
      <x:c r="M20" s="29"/>
      <x:c r="N20" s="29"/>
      <x:c r="O20" s="29"/>
      <x:c r="P20" s="29"/>
      <x:c r="Q20" s="30"/>
      <x:c r="R20" s="29"/>
      <x:c r="S20" s="3" t="str">
        <x:f>IF(D20&lt;&gt;"Sí","",IF(P20="Sí","Cerrado",IF(K20="","Sin fecha",IF(K20&lt;TODAY(),"Vencido",IF(K20&lt;=TODAY()+3,"Próximo","En curso")))))</x:f>
      </x:c>
      <x:c r="T20" s="3"/>
    </x:row>
    <x:row r="21" ht="52" customHeight="1">
      <x:c r="A21" s="3" t="n">
        <x:v>15</x:v>
      </x:c>
      <x:c r="B21" s="26" t="str">
        <x:v>Revisión y análisis documental</x:v>
      </x:c>
      <x:c r="C21" s="26" t="str">
        <x:v>Análisis de expedientes</x:v>
      </x:c>
      <x:c r="D21" s="7"/>
      <x:c r="E21" s="26" t="str">
        <x:v>Documento base, versión anterior y criterios</x:v>
      </x:c>
      <x:c r="F21" s="26" t="str">
        <x:v>Índice, lista de faltantes, mapa de riesgos y plan de completamiento.</x:v>
      </x:c>
      <x:c r="G21" s="3" t="n">
        <x:v>2</x:v>
      </x:c>
      <x:c r="H21" s="29"/>
      <x:c r="I21" s="29"/>
      <x:c r="J21" s="30"/>
      <x:c r="K21" s="30"/>
      <x:c r="L21" s="29"/>
      <x:c r="M21" s="29"/>
      <x:c r="N21" s="29"/>
      <x:c r="O21" s="29"/>
      <x:c r="P21" s="29"/>
      <x:c r="Q21" s="30"/>
      <x:c r="R21" s="29"/>
      <x:c r="S21" s="3" t="str">
        <x:f>IF(D21&lt;&gt;"Sí","",IF(P21="Sí","Cerrado",IF(K21="","Sin fecha",IF(K21&lt;TODAY(),"Vencido",IF(K21&lt;=TODAY()+3,"Próximo","En curso")))))</x:f>
      </x:c>
      <x:c r="T21" s="3"/>
    </x:row>
    <x:row r="22" ht="52" customHeight="1">
      <x:c r="A22" s="3" t="n">
        <x:v>16</x:v>
      </x:c>
      <x:c r="B22" s="26" t="str">
        <x:v>Revisión y análisis documental</x:v>
      </x:c>
      <x:c r="C22" s="26" t="str">
        <x:v>Extracción estructurada de datos</x:v>
      </x:c>
      <x:c r="D22" s="7"/>
      <x:c r="E22" s="26" t="str">
        <x:v>Documento base, versión anterior y criterios</x:v>
      </x:c>
      <x:c r="F22" s="26" t="str">
        <x:v>Tabla estructurada y vínculo con el documento fuente.</x:v>
      </x:c>
      <x:c r="G22" s="3" t="n">
        <x:v>2</x:v>
      </x:c>
      <x:c r="H22" s="29"/>
      <x:c r="I22" s="29"/>
      <x:c r="J22" s="30"/>
      <x:c r="K22" s="30"/>
      <x:c r="L22" s="29"/>
      <x:c r="M22" s="29"/>
      <x:c r="N22" s="29"/>
      <x:c r="O22" s="29"/>
      <x:c r="P22" s="29"/>
      <x:c r="Q22" s="30"/>
      <x:c r="R22" s="29"/>
      <x:c r="S22" s="3" t="str">
        <x:f>IF(D22&lt;&gt;"Sí","",IF(P22="Sí","Cerrado",IF(K22="","Sin fecha",IF(K22&lt;TODAY(),"Vencido",IF(K22&lt;=TODAY()+3,"Próximo","En curso")))))</x:f>
      </x:c>
      <x:c r="T22" s="3"/>
    </x:row>
    <x:row r="23" ht="52" customHeight="1">
      <x:c r="A23" s="3" t="n">
        <x:v>17</x:v>
      </x:c>
      <x:c r="B23" s="26" t="str">
        <x:v>Reuniones y acuerdos: apoyo permitido</x:v>
      </x:c>
      <x:c r="C23" s="26" t="str">
        <x:v>Preparación de juntas directivas</x:v>
      </x:c>
      <x:c r="D23" s="7"/>
      <x:c r="E23" s="26" t="str">
        <x:v>Agenda, información aprobada, tareas y fechas</x:v>
      </x:c>
      <x:c r="F23" s="26" t="str">
        <x:v>Paquete previo de junta, agenda, preguntas y asuntos que requieren acuerdo.</x:v>
      </x:c>
      <x:c r="G23" s="3" t="n">
        <x:v>18</x:v>
      </x:c>
      <x:c r="H23" s="29"/>
      <x:c r="I23" s="29"/>
      <x:c r="J23" s="30"/>
      <x:c r="K23" s="30"/>
      <x:c r="L23" s="29"/>
      <x:c r="M23" s="29"/>
      <x:c r="N23" s="29"/>
      <x:c r="O23" s="29"/>
      <x:c r="P23" s="29"/>
      <x:c r="Q23" s="30"/>
      <x:c r="R23" s="29"/>
      <x:c r="S23" s="3" t="str">
        <x:f>IF(D23&lt;&gt;"Sí","",IF(P23="Sí","Cerrado",IF(K23="","Sin fecha",IF(K23&lt;TODAY(),"Vencido",IF(K23&lt;=TODAY()+3,"Próximo","En curso")))))</x:f>
      </x:c>
      <x:c r="T23" s="3"/>
    </x:row>
    <x:row r="24" ht="52" customHeight="1">
      <x:c r="A24" s="3" t="n">
        <x:v>18</x:v>
      </x:c>
      <x:c r="B24" s="26" t="str">
        <x:v>Reuniones y acuerdos: apoyo permitido</x:v>
      </x:c>
      <x:c r="C24" s="26" t="str">
        <x:v>Agenda y matriz de tareas; minutas y actas excluidas</x:v>
      </x:c>
      <x:c r="D24" s="7"/>
      <x:c r="E24" s="26" t="str">
        <x:v>Agenda, información aprobada, tareas y fechas</x:v>
      </x:c>
      <x:c r="F24" s="26" t="str">
        <x:v>Matriz de tareas y seguimiento; minutas y actas excluidas.</x:v>
      </x:c>
      <x:c r="G24" s="3" t="n">
        <x:v>18</x:v>
      </x:c>
      <x:c r="H24" s="29"/>
      <x:c r="I24" s="29"/>
      <x:c r="J24" s="30"/>
      <x:c r="K24" s="30"/>
      <x:c r="L24" s="29"/>
      <x:c r="M24" s="29"/>
      <x:c r="N24" s="29"/>
      <x:c r="O24" s="29"/>
      <x:c r="P24" s="29"/>
      <x:c r="Q24" s="30"/>
      <x:c r="R24" s="29"/>
      <x:c r="S24" s="3" t="str">
        <x:f>IF(D24&lt;&gt;"Sí","",IF(P24="Sí","Cerrado",IF(K24="","Sin fecha",IF(K24&lt;TODAY(),"Vencido",IF(K24&lt;=TODAY()+3,"Próximo","En curso")))))</x:f>
      </x:c>
      <x:c r="T24" s="3"/>
    </x:row>
    <x:row r="25" ht="52" customHeight="1">
      <x:c r="A25" s="3" t="n">
        <x:v>19</x:v>
      </x:c>
      <x:c r="B25" s="26" t="str">
        <x:v>Reuniones y acuerdos: apoyo permitido</x:v>
      </x:c>
      <x:c r="C25" s="26" t="str">
        <x:v>Seguimiento de acuerdos</x:v>
      </x:c>
      <x:c r="D25" s="7"/>
      <x:c r="E25" s="26" t="str">
        <x:v>Agenda, información aprobada, tareas y fechas</x:v>
      </x:c>
      <x:c r="F25" s="26" t="str">
        <x:v>Registro de acuerdos, alertas y reporte de vencidos o bloqueados.</x:v>
      </x:c>
      <x:c r="G25" s="3" t="n">
        <x:v>18</x:v>
      </x:c>
      <x:c r="H25" s="29"/>
      <x:c r="I25" s="29"/>
      <x:c r="J25" s="30"/>
      <x:c r="K25" s="30"/>
      <x:c r="L25" s="29"/>
      <x:c r="M25" s="29"/>
      <x:c r="N25" s="29"/>
      <x:c r="O25" s="29"/>
      <x:c r="P25" s="29"/>
      <x:c r="Q25" s="30"/>
      <x:c r="R25" s="29"/>
      <x:c r="S25" s="3" t="str">
        <x:f>IF(D25&lt;&gt;"Sí","",IF(P25="Sí","Cerrado",IF(K25="","Sin fecha",IF(K25&lt;TODAY(),"Vencido",IF(K25&lt;=TODAY()+3,"Próximo","En curso")))))</x:f>
      </x:c>
      <x:c r="T25" s="3"/>
    </x:row>
    <x:row r="26" ht="52" customHeight="1">
      <x:c r="A26" s="3" t="n">
        <x:v>20</x:v>
      </x:c>
      <x:c r="B26" s="26" t="str">
        <x:v>Reuniones y acuerdos: apoyo permitido</x:v>
      </x:c>
      <x:c r="C26" s="26" t="str">
        <x:v>Informe de cumplimiento de acuerdos</x:v>
      </x:c>
      <x:c r="D26" s="7"/>
      <x:c r="E26" s="26" t="str">
        <x:v>Agenda, información aprobada, tareas y fechas</x:v>
      </x:c>
      <x:c r="F26" s="26" t="str">
        <x:v>Informe de cumplimiento y lista de decisiones pendientes.</x:v>
      </x:c>
      <x:c r="G26" s="3" t="n">
        <x:v>18</x:v>
      </x:c>
      <x:c r="H26" s="29"/>
      <x:c r="I26" s="29"/>
      <x:c r="J26" s="30"/>
      <x:c r="K26" s="30"/>
      <x:c r="L26" s="29"/>
      <x:c r="M26" s="29"/>
      <x:c r="N26" s="29"/>
      <x:c r="O26" s="29"/>
      <x:c r="P26" s="29"/>
      <x:c r="Q26" s="30"/>
      <x:c r="R26" s="29"/>
      <x:c r="S26" s="3" t="str">
        <x:f>IF(D26&lt;&gt;"Sí","",IF(P26="Sí","Cerrado",IF(K26="","Sin fecha",IF(K26&lt;TODAY(),"Vencido",IF(K26&lt;=TODAY()+3,"Próximo","En curso")))))</x:f>
      </x:c>
      <x:c r="T26" s="3"/>
    </x:row>
    <x:row r="27" ht="52" customHeight="1">
      <x:c r="A27" s="3" t="n">
        <x:v>21</x:v>
      </x:c>
      <x:c r="B27" s="26" t="str">
        <x:v>Reuniones y acuerdos: apoyo permitido</x:v>
      </x:c>
      <x:c r="C27" s="26" t="str">
        <x:v>Preparación de reuniones de cierre</x:v>
      </x:c>
      <x:c r="D27" s="7"/>
      <x:c r="E27" s="26" t="str">
        <x:v>Agenda, información aprobada, tareas y fechas</x:v>
      </x:c>
      <x:c r="F27" s="26" t="str">
        <x:v>Presentación de cierre, informe de excepciones y propuesta de decisiones.</x:v>
      </x:c>
      <x:c r="G27" s="3" t="n">
        <x:v>18</x:v>
      </x:c>
      <x:c r="H27" s="29"/>
      <x:c r="I27" s="29"/>
      <x:c r="J27" s="30"/>
      <x:c r="K27" s="30"/>
      <x:c r="L27" s="29"/>
      <x:c r="M27" s="29"/>
      <x:c r="N27" s="29"/>
      <x:c r="O27" s="29"/>
      <x:c r="P27" s="29"/>
      <x:c r="Q27" s="30"/>
      <x:c r="R27" s="29"/>
      <x:c r="S27" s="3" t="str">
        <x:f>IF(D27&lt;&gt;"Sí","",IF(P27="Sí","Cerrado",IF(K27="","Sin fecha",IF(K27&lt;TODAY(),"Vencido",IF(K27&lt;=TODAY()+3,"Próximo","En curso")))))</x:f>
      </x:c>
      <x:c r="T27" s="3"/>
    </x:row>
    <x:row r="28" ht="52" customHeight="1">
      <x:c r="A28" s="3" t="n">
        <x:v>22</x:v>
      </x:c>
      <x:c r="B28" s="26" t="str">
        <x:v>Reuniones y acuerdos: apoyo permitido</x:v>
      </x:c>
      <x:c r="C28" s="26" t="str">
        <x:v>Repositorio de decisiones aportadas; llevanza de actas y registros excluida</x:v>
      </x:c>
      <x:c r="D28" s="7"/>
      <x:c r="E28" s="26" t="str">
        <x:v>Agenda, información aprobada, tareas y fechas</x:v>
      </x:c>
      <x:c r="F28" s="26" t="str">
        <x:v>Índice de documentos aportados y matriz de seguimiento dentro del alcance autorizado.</x:v>
      </x:c>
      <x:c r="G28" s="3" t="n">
        <x:v>18</x:v>
      </x:c>
      <x:c r="H28" s="29"/>
      <x:c r="I28" s="29"/>
      <x:c r="J28" s="30"/>
      <x:c r="K28" s="30"/>
      <x:c r="L28" s="29"/>
      <x:c r="M28" s="29"/>
      <x:c r="N28" s="29"/>
      <x:c r="O28" s="29"/>
      <x:c r="P28" s="29"/>
      <x:c r="Q28" s="30"/>
      <x:c r="R28" s="29"/>
      <x:c r="S28" s="3" t="str">
        <x:f>IF(D28&lt;&gt;"Sí","",IF(P28="Sí","Cerrado",IF(K28="","Sin fecha",IF(K28&lt;TODAY(),"Vencido",IF(K28&lt;=TODAY()+3,"Próximo","En curso")))))</x:f>
      </x:c>
      <x:c r="T28" s="3"/>
    </x:row>
    <x:row r="29" ht="52" customHeight="1">
      <x:c r="A29" s="3" t="n">
        <x:v>23</x:v>
      </x:c>
      <x:c r="B29" s="26" t="str">
        <x:v>Gestión documental interna</x:v>
      </x:c>
      <x:c r="C29" s="26" t="str">
        <x:v>Diseño del expediente digital</x:v>
      </x:c>
      <x:c r="D29" s="7"/>
      <x:c r="E29" s="26" t="str">
        <x:v>Documentos, clasificación y responsables</x:v>
      </x:c>
      <x:c r="F29" s="26" t="str">
        <x:v>Árbol de carpetas, índice maestro y norma de denominación.</x:v>
      </x:c>
      <x:c r="G29" s="3" t="n">
        <x:v>3</x:v>
      </x:c>
      <x:c r="H29" s="29"/>
      <x:c r="I29" s="29"/>
      <x:c r="J29" s="30"/>
      <x:c r="K29" s="30"/>
      <x:c r="L29" s="29"/>
      <x:c r="M29" s="29"/>
      <x:c r="N29" s="29"/>
      <x:c r="O29" s="29"/>
      <x:c r="P29" s="29"/>
      <x:c r="Q29" s="30"/>
      <x:c r="R29" s="29"/>
      <x:c r="S29" s="3" t="str">
        <x:f>IF(D29&lt;&gt;"Sí","",IF(P29="Sí","Cerrado",IF(K29="","Sin fecha",IF(K29&lt;TODAY(),"Vencido",IF(K29&lt;=TODAY()+3,"Próximo","En curso")))))</x:f>
      </x:c>
      <x:c r="T29" s="3"/>
    </x:row>
    <x:row r="30" ht="52" customHeight="1">
      <x:c r="A30" s="3" t="n">
        <x:v>24</x:v>
      </x:c>
      <x:c r="B30" s="26" t="str">
        <x:v>Gestión documental interna</x:v>
      </x:c>
      <x:c r="C30" s="26" t="str">
        <x:v>Clasificación de documentos</x:v>
      </x:c>
      <x:c r="D30" s="7"/>
      <x:c r="E30" s="26" t="str">
        <x:v>Documentos, clasificación y responsables</x:v>
      </x:c>
      <x:c r="F30" s="26" t="str">
        <x:v>Inventario clasificado y cola de excepciones.</x:v>
      </x:c>
      <x:c r="G30" s="3" t="n">
        <x:v>3</x:v>
      </x:c>
      <x:c r="H30" s="29"/>
      <x:c r="I30" s="29"/>
      <x:c r="J30" s="30"/>
      <x:c r="K30" s="30"/>
      <x:c r="L30" s="29"/>
      <x:c r="M30" s="29"/>
      <x:c r="N30" s="29"/>
      <x:c r="O30" s="29"/>
      <x:c r="P30" s="29"/>
      <x:c r="Q30" s="30"/>
      <x:c r="R30" s="29"/>
      <x:c r="S30" s="3" t="str">
        <x:f>IF(D30&lt;&gt;"Sí","",IF(P30="Sí","Cerrado",IF(K30="","Sin fecha",IF(K30&lt;TODAY(),"Vencido",IF(K30&lt;=TODAY()+3,"Próximo","En curso")))))</x:f>
      </x:c>
      <x:c r="T30" s="3"/>
    </x:row>
    <x:row r="31" ht="52" customHeight="1">
      <x:c r="A31" s="3" t="n">
        <x:v>25</x:v>
      </x:c>
      <x:c r="B31" s="26" t="str">
        <x:v>Gestión documental interna</x:v>
      </x:c>
      <x:c r="C31" s="26" t="str">
        <x:v>Control de versiones</x:v>
      </x:c>
      <x:c r="D31" s="7"/>
      <x:c r="E31" s="26" t="str">
        <x:v>Documentos, clasificación y responsables</x:v>
      </x:c>
      <x:c r="F31" s="26" t="str">
        <x:v>Historial de versiones y relación de documentos oficiales.</x:v>
      </x:c>
      <x:c r="G31" s="3" t="n">
        <x:v>3</x:v>
      </x:c>
      <x:c r="H31" s="29"/>
      <x:c r="I31" s="29"/>
      <x:c r="J31" s="30"/>
      <x:c r="K31" s="30"/>
      <x:c r="L31" s="29"/>
      <x:c r="M31" s="29"/>
      <x:c r="N31" s="29"/>
      <x:c r="O31" s="29"/>
      <x:c r="P31" s="29"/>
      <x:c r="Q31" s="30"/>
      <x:c r="R31" s="29"/>
      <x:c r="S31" s="3" t="str">
        <x:f>IF(D31&lt;&gt;"Sí","",IF(P31="Sí","Cerrado",IF(K31="","Sin fecha",IF(K31&lt;TODAY(),"Vencido",IF(K31&lt;=TODAY()+3,"Próximo","En curso")))))</x:f>
      </x:c>
      <x:c r="T31" s="3"/>
    </x:row>
    <x:row r="32" ht="52" customHeight="1">
      <x:c r="A32" s="3" t="n">
        <x:v>26</x:v>
      </x:c>
      <x:c r="B32" s="26" t="str">
        <x:v>Gestión documental interna</x:v>
      </x:c>
      <x:c r="C32" s="26" t="str">
        <x:v>Control de vencimientos documentales</x:v>
      </x:c>
      <x:c r="D32" s="7"/>
      <x:c r="E32" s="26" t="str">
        <x:v>Documentos, clasificación y responsables</x:v>
      </x:c>
      <x:c r="F32" s="26" t="str">
        <x:v>Calendario de vencimientos y reporte de renovaciones.</x:v>
      </x:c>
      <x:c r="G32" s="3" t="n">
        <x:v>3</x:v>
      </x:c>
      <x:c r="H32" s="29"/>
      <x:c r="I32" s="29"/>
      <x:c r="J32" s="30"/>
      <x:c r="K32" s="30"/>
      <x:c r="L32" s="29"/>
      <x:c r="M32" s="29"/>
      <x:c r="N32" s="29"/>
      <x:c r="O32" s="29"/>
      <x:c r="P32" s="29"/>
      <x:c r="Q32" s="30"/>
      <x:c r="R32" s="29"/>
      <x:c r="S32" s="3" t="str">
        <x:f>IF(D32&lt;&gt;"Sí","",IF(P32="Sí","Cerrado",IF(K32="","Sin fecha",IF(K32&lt;TODAY(),"Vencido",IF(K32&lt;=TODAY()+3,"Próximo","En curso")))))</x:f>
      </x:c>
      <x:c r="T32" s="3"/>
    </x:row>
    <x:row r="33" ht="52" customHeight="1">
      <x:c r="A33" s="3" t="n">
        <x:v>27</x:v>
      </x:c>
      <x:c r="B33" s="26" t="str">
        <x:v>Gestión documental interna</x:v>
      </x:c>
      <x:c r="C33" s="26" t="str">
        <x:v>Buscador interno de información</x:v>
      </x:c>
      <x:c r="D33" s="7"/>
      <x:c r="E33" s="26" t="str">
        <x:v>Documentos, clasificación y responsables</x:v>
      </x:c>
      <x:c r="F33" s="26" t="str">
        <x:v>Asistente de búsqueda con respuesta, fuente y fecha de revisión.</x:v>
      </x:c>
      <x:c r="G33" s="3" t="n">
        <x:v>3</x:v>
      </x:c>
      <x:c r="H33" s="29"/>
      <x:c r="I33" s="29"/>
      <x:c r="J33" s="30"/>
      <x:c r="K33" s="30"/>
      <x:c r="L33" s="29"/>
      <x:c r="M33" s="29"/>
      <x:c r="N33" s="29"/>
      <x:c r="O33" s="29"/>
      <x:c r="P33" s="29"/>
      <x:c r="Q33" s="30"/>
      <x:c r="R33" s="29"/>
      <x:c r="S33" s="3" t="str">
        <x:f>IF(D33&lt;&gt;"Sí","",IF(P33="Sí","Cerrado",IF(K33="","Sin fecha",IF(K33&lt;TODAY(),"Vencido",IF(K33&lt;=TODAY()+3,"Próximo","En curso")))))</x:f>
      </x:c>
      <x:c r="T33" s="3"/>
    </x:row>
    <x:row r="34" ht="52" customHeight="1">
      <x:c r="A34" s="3" t="n">
        <x:v>28</x:v>
      </x:c>
      <x:c r="B34" s="26" t="str">
        <x:v>Gestión documental interna</x:v>
      </x:c>
      <x:c r="C34" s="26" t="str">
        <x:v>Transferencia de conocimiento</x:v>
      </x:c>
      <x:c r="D34" s="7"/>
      <x:c r="E34" s="26" t="str">
        <x:v>Documentos, clasificación y responsables</x:v>
      </x:c>
      <x:c r="F34" s="26" t="str">
        <x:v>Base de conocimiento y programa de transferencia.</x:v>
      </x:c>
      <x:c r="G34" s="3" t="n">
        <x:v>3</x:v>
      </x:c>
      <x:c r="H34" s="29"/>
      <x:c r="I34" s="29"/>
      <x:c r="J34" s="30"/>
      <x:c r="K34" s="30"/>
      <x:c r="L34" s="29"/>
      <x:c r="M34" s="29"/>
      <x:c r="N34" s="29"/>
      <x:c r="O34" s="29"/>
      <x:c r="P34" s="29"/>
      <x:c r="Q34" s="30"/>
      <x:c r="R34" s="29"/>
      <x:c r="S34" s="3" t="str">
        <x:f>IF(D34&lt;&gt;"Sí","",IF(P34="Sí","Cerrado",IF(K34="","Sin fecha",IF(K34&lt;TODAY(),"Vencido",IF(K34&lt;=TODAY()+3,"Próximo","En curso")))))</x:f>
      </x:c>
      <x:c r="T34" s="3"/>
    </x:row>
    <x:row r="35" ht="52" customHeight="1">
      <x:c r="A35" s="3" t="n">
        <x:v>29</x:v>
      </x:c>
      <x:c r="B35" s="26" t="str">
        <x:v>Cumplimiento normativo</x:v>
      </x:c>
      <x:c r="C35" s="26" t="str">
        <x:v>Vigilancia legislativa</x:v>
      </x:c>
      <x:c r="D35" s="7"/>
      <x:c r="E35" s="26" t="str">
        <x:v>Actor, actividad, norma, hecho y fecha</x:v>
      </x:c>
      <x:c r="F35" s="26" t="str">
        <x:v>Boletín de cambios, ficha de fuente y alerta priorizada.</x:v>
      </x:c>
      <x:c r="G35" s="3" t="n">
        <x:v>11</x:v>
      </x:c>
      <x:c r="H35" s="29"/>
      <x:c r="I35" s="29"/>
      <x:c r="J35" s="30"/>
      <x:c r="K35" s="30"/>
      <x:c r="L35" s="29"/>
      <x:c r="M35" s="29"/>
      <x:c r="N35" s="29"/>
      <x:c r="O35" s="29"/>
      <x:c r="P35" s="29"/>
      <x:c r="Q35" s="30"/>
      <x:c r="R35" s="29"/>
      <x:c r="S35" s="3" t="str">
        <x:f>IF(D35&lt;&gt;"Sí","",IF(P35="Sí","Cerrado",IF(K35="","Sin fecha",IF(K35&lt;TODAY(),"Vencido",IF(K35&lt;=TODAY()+3,"Próximo","En curso")))))</x:f>
      </x:c>
      <x:c r="T35" s="3"/>
    </x:row>
    <x:row r="36" ht="52" customHeight="1">
      <x:c r="A36" s="3" t="n">
        <x:v>30</x:v>
      </x:c>
      <x:c r="B36" s="26" t="str">
        <x:v>Cumplimiento normativo</x:v>
      </x:c>
      <x:c r="C36" s="26" t="str">
        <x:v>Resumen explicativo de normas</x:v>
      </x:c>
      <x:c r="D36" s="7"/>
      <x:c r="E36" s="26" t="str">
        <x:v>Actor, actividad, norma, hecho y fecha</x:v>
      </x:c>
      <x:c r="F36" s="26" t="str">
        <x:v>Resumen ejecutivo con referencias y preguntas abiertas.</x:v>
      </x:c>
      <x:c r="G36" s="3" t="n">
        <x:v>11</x:v>
      </x:c>
      <x:c r="H36" s="29"/>
      <x:c r="I36" s="29"/>
      <x:c r="J36" s="30"/>
      <x:c r="K36" s="30"/>
      <x:c r="L36" s="29"/>
      <x:c r="M36" s="29"/>
      <x:c r="N36" s="29"/>
      <x:c r="O36" s="29"/>
      <x:c r="P36" s="29"/>
      <x:c r="Q36" s="30"/>
      <x:c r="R36" s="29"/>
      <x:c r="S36" s="3" t="str">
        <x:f>IF(D36&lt;&gt;"Sí","",IF(P36="Sí","Cerrado",IF(K36="","Sin fecha",IF(K36&lt;TODAY(),"Vencido",IF(K36&lt;=TODAY()+3,"Próximo","En curso")))))</x:f>
      </x:c>
      <x:c r="T36" s="3"/>
    </x:row>
    <x:row r="37" ht="52" customHeight="1">
      <x:c r="A37" s="3" t="n">
        <x:v>31</x:v>
      </x:c>
      <x:c r="B37" s="26" t="str">
        <x:v>Cumplimiento normativo</x:v>
      </x:c>
      <x:c r="C37" s="26" t="str">
        <x:v>Matriz de aplicabilidad</x:v>
      </x:c>
      <x:c r="D37" s="7"/>
      <x:c r="E37" s="26" t="str">
        <x:v>Actor, actividad, norma, hecho y fecha</x:v>
      </x:c>
      <x:c r="F37" s="26" t="str">
        <x:v>Matriz de aplica, no aplica o requiere validación, con fundamento.</x:v>
      </x:c>
      <x:c r="G37" s="3" t="n">
        <x:v>11</x:v>
      </x:c>
      <x:c r="H37" s="29"/>
      <x:c r="I37" s="29"/>
      <x:c r="J37" s="30"/>
      <x:c r="K37" s="30"/>
      <x:c r="L37" s="29"/>
      <x:c r="M37" s="29"/>
      <x:c r="N37" s="29"/>
      <x:c r="O37" s="29"/>
      <x:c r="P37" s="29"/>
      <x:c r="Q37" s="30"/>
      <x:c r="R37" s="29"/>
      <x:c r="S37" s="3" t="str">
        <x:f>IF(D37&lt;&gt;"Sí","",IF(P37="Sí","Cerrado",IF(K37="","Sin fecha",IF(K37&lt;TODAY(),"Vencido",IF(K37&lt;=TODAY()+3,"Próximo","En curso")))))</x:f>
      </x:c>
      <x:c r="T37" s="3"/>
    </x:row>
    <x:row r="38" ht="52" customHeight="1">
      <x:c r="A38" s="3" t="n">
        <x:v>32</x:v>
      </x:c>
      <x:c r="B38" s="26" t="str">
        <x:v>Cumplimiento normativo</x:v>
      </x:c>
      <x:c r="C38" s="26" t="str">
        <x:v>Plan de implementación legislativa</x:v>
      </x:c>
      <x:c r="D38" s="7"/>
      <x:c r="E38" s="26" t="str">
        <x:v>Actor, actividad, norma, hecho y fecha</x:v>
      </x:c>
      <x:c r="F38" s="26" t="str">
        <x:v>Plan de acciones con plazos y criterios de cierre.</x:v>
      </x:c>
      <x:c r="G38" s="3" t="n">
        <x:v>11</x:v>
      </x:c>
      <x:c r="H38" s="29"/>
      <x:c r="I38" s="29"/>
      <x:c r="J38" s="30"/>
      <x:c r="K38" s="30"/>
      <x:c r="L38" s="29"/>
      <x:c r="M38" s="29"/>
      <x:c r="N38" s="29"/>
      <x:c r="O38" s="29"/>
      <x:c r="P38" s="29"/>
      <x:c r="Q38" s="30"/>
      <x:c r="R38" s="29"/>
      <x:c r="S38" s="3" t="str">
        <x:f>IF(D38&lt;&gt;"Sí","",IF(P38="Sí","Cerrado",IF(K38="","Sin fecha",IF(K38&lt;TODAY(),"Vencido",IF(K38&lt;=TODAY()+3,"Próximo","En curso")))))</x:f>
      </x:c>
      <x:c r="T38" s="3"/>
    </x:row>
    <x:row r="39" ht="52" customHeight="1">
      <x:c r="A39" s="3" t="n">
        <x:v>33</x:v>
      </x:c>
      <x:c r="B39" s="26" t="str">
        <x:v>Cumplimiento normativo</x:v>
      </x:c>
      <x:c r="C39" s="26" t="str">
        <x:v>Preguntas y respuestas avanzadas</x:v>
      </x:c>
      <x:c r="D39" s="7"/>
      <x:c r="E39" s="26" t="str">
        <x:v>Actor, actividad, norma, hecho y fecha</x:v>
      </x:c>
      <x:c r="F39" s="26" t="str">
        <x:v>Base de preguntas frecuentes revisada y lista para consulta.</x:v>
      </x:c>
      <x:c r="G39" s="3" t="n">
        <x:v>11</x:v>
      </x:c>
      <x:c r="H39" s="29"/>
      <x:c r="I39" s="29"/>
      <x:c r="J39" s="30"/>
      <x:c r="K39" s="30"/>
      <x:c r="L39" s="29"/>
      <x:c r="M39" s="29"/>
      <x:c r="N39" s="29"/>
      <x:c r="O39" s="29"/>
      <x:c r="P39" s="29"/>
      <x:c r="Q39" s="30"/>
      <x:c r="R39" s="29"/>
      <x:c r="S39" s="3" t="str">
        <x:f>IF(D39&lt;&gt;"Sí","",IF(P39="Sí","Cerrado",IF(K39="","Sin fecha",IF(K39&lt;TODAY(),"Vencido",IF(K39&lt;=TODAY()+3,"Próximo","En curso")))))</x:f>
      </x:c>
      <x:c r="T39" s="3"/>
    </x:row>
    <x:row r="40" ht="52" customHeight="1">
      <x:c r="A40" s="3" t="n">
        <x:v>34</x:v>
      </x:c>
      <x:c r="B40" s="26" t="str">
        <x:v>Cumplimiento normativo</x:v>
      </x:c>
      <x:c r="C40" s="26" t="str">
        <x:v>Entrenamiento legislativo continuo</x:v>
      </x:c>
      <x:c r="D40" s="7"/>
      <x:c r="E40" s="26" t="str">
        <x:v>Actor, actividad, norma, hecho y fecha</x:v>
      </x:c>
      <x:c r="F40" s="26" t="str">
        <x:v>Programa de actualización, materiales y registro de comprensión.</x:v>
      </x:c>
      <x:c r="G40" s="3" t="n">
        <x:v>11</x:v>
      </x:c>
      <x:c r="H40" s="29"/>
      <x:c r="I40" s="29"/>
      <x:c r="J40" s="30"/>
      <x:c r="K40" s="30"/>
      <x:c r="L40" s="29"/>
      <x:c r="M40" s="29"/>
      <x:c r="N40" s="29"/>
      <x:c r="O40" s="29"/>
      <x:c r="P40" s="29"/>
      <x:c r="Q40" s="30"/>
      <x:c r="R40" s="29"/>
      <x:c r="S40" s="3" t="str">
        <x:f>IF(D40&lt;&gt;"Sí","",IF(P40="Sí","Cerrado",IF(K40="","Sin fecha",IF(K40&lt;TODAY(),"Vencido",IF(K40&lt;=TODAY()+3,"Próximo","En curso")))))</x:f>
      </x:c>
      <x:c r="T40" s="3"/>
    </x:row>
    <x:row r="41" ht="52" customHeight="1">
      <x:c r="A41" s="3" t="n">
        <x:v>35</x:v>
      </x:c>
      <x:c r="B41" s="26" t="str">
        <x:v>Cumplimiento normativo</x:v>
      </x:c>
      <x:c r="C41" s="26" t="str">
        <x:v>Control de evidencias de cumplimiento</x:v>
      </x:c>
      <x:c r="D41" s="7"/>
      <x:c r="E41" s="26" t="str">
        <x:v>Actor, actividad, norma, hecho y fecha</x:v>
      </x:c>
      <x:c r="F41" s="26" t="str">
        <x:v>Mapa obligación a evidencia y lista de brechas.</x:v>
      </x:c>
      <x:c r="G41" s="3" t="n">
        <x:v>11</x:v>
      </x:c>
      <x:c r="H41" s="29"/>
      <x:c r="I41" s="29"/>
      <x:c r="J41" s="30"/>
      <x:c r="K41" s="30"/>
      <x:c r="L41" s="29"/>
      <x:c r="M41" s="29"/>
      <x:c r="N41" s="29"/>
      <x:c r="O41" s="29"/>
      <x:c r="P41" s="29"/>
      <x:c r="Q41" s="30"/>
      <x:c r="R41" s="29"/>
      <x:c r="S41" s="3" t="str">
        <x:f>IF(D41&lt;&gt;"Sí","",IF(P41="Sí","Cerrado",IF(K41="","Sin fecha",IF(K41&lt;TODAY(),"Vencido",IF(K41&lt;=TODAY()+3,"Próximo","En curso")))))</x:f>
      </x:c>
      <x:c r="T41" s="3"/>
    </x:row>
    <x:row r="42" ht="52" customHeight="1">
      <x:c r="A42" s="3" t="n">
        <x:v>36</x:v>
      </x:c>
      <x:c r="B42" s="26" t="str">
        <x:v>Contabilidad auxiliar y cierres</x:v>
      </x:c>
      <x:c r="C42" s="26" t="str">
        <x:v>Revisión diaria o semanal de la contabilidad</x:v>
      </x:c>
      <x:c r="D42" s="7"/>
      <x:c r="E42" s="26" t="str">
        <x:v>Mayor, auxiliares, bancos, soportes y período</x:v>
      </x:c>
      <x:c r="F42" s="26" t="str">
        <x:v>Reporte de alertas, preguntas y acciones para el contador.</x:v>
      </x:c>
      <x:c r="G42" s="3" t="n">
        <x:v>9</x:v>
      </x:c>
      <x:c r="H42" s="29"/>
      <x:c r="I42" s="29"/>
      <x:c r="J42" s="30"/>
      <x:c r="K42" s="30"/>
      <x:c r="L42" s="29"/>
      <x:c r="M42" s="29"/>
      <x:c r="N42" s="29"/>
      <x:c r="O42" s="29"/>
      <x:c r="P42" s="29"/>
      <x:c r="Q42" s="30"/>
      <x:c r="R42" s="29"/>
      <x:c r="S42" s="3" t="str">
        <x:f>IF(D42&lt;&gt;"Sí","",IF(P42="Sí","Cerrado",IF(K42="","Sin fecha",IF(K42&lt;TODAY(),"Vencido",IF(K42&lt;=TODAY()+3,"Próximo","En curso")))))</x:f>
      </x:c>
      <x:c r="T42" s="3"/>
    </x:row>
    <x:row r="43" ht="52" customHeight="1">
      <x:c r="A43" s="3" t="n">
        <x:v>37</x:v>
      </x:c>
      <x:c r="B43" s="26" t="str">
        <x:v>Contabilidad auxiliar y cierres</x:v>
      </x:c>
      <x:c r="C43" s="26" t="str">
        <x:v>Detección de errores contables</x:v>
      </x:c>
      <x:c r="D43" s="7"/>
      <x:c r="E43" s="26" t="str">
        <x:v>Mayor, auxiliares, bancos, soportes y período</x:v>
      </x:c>
      <x:c r="F43" s="26" t="str">
        <x:v>Listado de posibles errores con importe, fuente y motivo de alerta.</x:v>
      </x:c>
      <x:c r="G43" s="3" t="n">
        <x:v>9</x:v>
      </x:c>
      <x:c r="H43" s="29"/>
      <x:c r="I43" s="29"/>
      <x:c r="J43" s="30"/>
      <x:c r="K43" s="30"/>
      <x:c r="L43" s="29"/>
      <x:c r="M43" s="29"/>
      <x:c r="N43" s="29"/>
      <x:c r="O43" s="29"/>
      <x:c r="P43" s="29"/>
      <x:c r="Q43" s="30"/>
      <x:c r="R43" s="29"/>
      <x:c r="S43" s="3" t="str">
        <x:f>IF(D43&lt;&gt;"Sí","",IF(P43="Sí","Cerrado",IF(K43="","Sin fecha",IF(K43&lt;TODAY(),"Vencido",IF(K43&lt;=TODAY()+3,"Próximo","En curso")))))</x:f>
      </x:c>
      <x:c r="T43" s="3"/>
    </x:row>
    <x:row r="44" ht="52" customHeight="1">
      <x:c r="A44" s="3" t="n">
        <x:v>38</x:v>
      </x:c>
      <x:c r="B44" s="26" t="str">
        <x:v>Contabilidad auxiliar y cierres</x:v>
      </x:c>
      <x:c r="C44" s="26" t="str">
        <x:v>Control del cierre contable</x:v>
      </x:c>
      <x:c r="D44" s="7"/>
      <x:c r="E44" s="26" t="str">
        <x:v>Mayor, auxiliares, bancos, soportes y período</x:v>
      </x:c>
      <x:c r="F44" s="26" t="str">
        <x:v>Lista de cierre, panel de avance y expediente final.</x:v>
      </x:c>
      <x:c r="G44" s="3" t="n">
        <x:v>9</x:v>
      </x:c>
      <x:c r="H44" s="29"/>
      <x:c r="I44" s="29"/>
      <x:c r="J44" s="30"/>
      <x:c r="K44" s="30"/>
      <x:c r="L44" s="29"/>
      <x:c r="M44" s="29"/>
      <x:c r="N44" s="29"/>
      <x:c r="O44" s="29"/>
      <x:c r="P44" s="29"/>
      <x:c r="Q44" s="30"/>
      <x:c r="R44" s="29"/>
      <x:c r="S44" s="3" t="str">
        <x:f>IF(D44&lt;&gt;"Sí","",IF(P44="Sí","Cerrado",IF(K44="","Sin fecha",IF(K44&lt;TODAY(),"Vencido",IF(K44&lt;=TODAY()+3,"Próximo","En curso")))))</x:f>
      </x:c>
      <x:c r="T44" s="3"/>
    </x:row>
    <x:row r="45" ht="52" customHeight="1">
      <x:c r="A45" s="3" t="n">
        <x:v>39</x:v>
      </x:c>
      <x:c r="B45" s="26" t="str">
        <x:v>Contabilidad auxiliar y cierres</x:v>
      </x:c>
      <x:c r="C45" s="26" t="str">
        <x:v>Preparación de estados financieros</x:v>
      </x:c>
      <x:c r="D45" s="7"/>
      <x:c r="E45" s="26" t="str">
        <x:v>Mayor, auxiliares, bancos, soportes y período</x:v>
      </x:c>
      <x:c r="F45" s="26" t="str">
        <x:v>Estados parametrizados, cuentas sin mapear y comprobaciones.</x:v>
      </x:c>
      <x:c r="G45" s="3" t="n">
        <x:v>9</x:v>
      </x:c>
      <x:c r="H45" s="29"/>
      <x:c r="I45" s="29"/>
      <x:c r="J45" s="30"/>
      <x:c r="K45" s="30"/>
      <x:c r="L45" s="29"/>
      <x:c r="M45" s="29"/>
      <x:c r="N45" s="29"/>
      <x:c r="O45" s="29"/>
      <x:c r="P45" s="29"/>
      <x:c r="Q45" s="30"/>
      <x:c r="R45" s="29"/>
      <x:c r="S45" s="3" t="str">
        <x:f>IF(D45&lt;&gt;"Sí","",IF(P45="Sí","Cerrado",IF(K45="","Sin fecha",IF(K45&lt;TODAY(),"Vencido",IF(K45&lt;=TODAY()+3,"Próximo","En curso")))))</x:f>
      </x:c>
      <x:c r="T45" s="3"/>
    </x:row>
    <x:row r="46" ht="52" customHeight="1">
      <x:c r="A46" s="3" t="n">
        <x:v>40</x:v>
      </x:c>
      <x:c r="B46" s="26" t="str">
        <x:v>Contabilidad auxiliar y cierres</x:v>
      </x:c>
      <x:c r="C46" s="26" t="str">
        <x:v>Notas descriptivas de cierres económicos</x:v>
      </x:c>
      <x:c r="D46" s="7"/>
      <x:c r="E46" s="26" t="str">
        <x:v>Mayor, auxiliares, bancos, soportes y período</x:v>
      </x:c>
      <x:c r="F46" s="26" t="str">
        <x:v>Notas con cifras, explicación, política y fuente.</x:v>
      </x:c>
      <x:c r="G46" s="3" t="n">
        <x:v>9</x:v>
      </x:c>
      <x:c r="H46" s="29"/>
      <x:c r="I46" s="29"/>
      <x:c r="J46" s="30"/>
      <x:c r="K46" s="30"/>
      <x:c r="L46" s="29"/>
      <x:c r="M46" s="29"/>
      <x:c r="N46" s="29"/>
      <x:c r="O46" s="29"/>
      <x:c r="P46" s="29"/>
      <x:c r="Q46" s="30"/>
      <x:c r="R46" s="29"/>
      <x:c r="S46" s="3" t="str">
        <x:f>IF(D46&lt;&gt;"Sí","",IF(P46="Sí","Cerrado",IF(K46="","Sin fecha",IF(K46&lt;TODAY(),"Vencido",IF(K46&lt;=TODAY()+3,"Próximo","En curso")))))</x:f>
      </x:c>
      <x:c r="T46" s="3"/>
    </x:row>
    <x:row r="47" ht="52" customHeight="1">
      <x:c r="A47" s="3" t="n">
        <x:v>41</x:v>
      </x:c>
      <x:c r="B47" s="26" t="str">
        <x:v>Contabilidad auxiliar y cierres</x:v>
      </x:c>
      <x:c r="C47" s="26" t="str">
        <x:v>Análisis de variaciones</x:v>
      </x:c>
      <x:c r="D47" s="7"/>
      <x:c r="E47" s="26" t="str">
        <x:v>Mayor, auxiliares, bancos, soportes y período</x:v>
      </x:c>
      <x:c r="F47" s="26" t="str">
        <x:v>Matriz de variaciones, explicación solicitada y presentación ejecutiva.</x:v>
      </x:c>
      <x:c r="G47" s="3" t="n">
        <x:v>9</x:v>
      </x:c>
      <x:c r="H47" s="29"/>
      <x:c r="I47" s="29"/>
      <x:c r="J47" s="30"/>
      <x:c r="K47" s="30"/>
      <x:c r="L47" s="29"/>
      <x:c r="M47" s="29"/>
      <x:c r="N47" s="29"/>
      <x:c r="O47" s="29"/>
      <x:c r="P47" s="29"/>
      <x:c r="Q47" s="30"/>
      <x:c r="R47" s="29"/>
      <x:c r="S47" s="3" t="str">
        <x:f>IF(D47&lt;&gt;"Sí","",IF(P47="Sí","Cerrado",IF(K47="","Sin fecha",IF(K47&lt;TODAY(),"Vencido",IF(K47&lt;=TODAY()+3,"Próximo","En curso")))))</x:f>
      </x:c>
      <x:c r="T47" s="3"/>
    </x:row>
    <x:row r="48" ht="52" customHeight="1">
      <x:c r="A48" s="3" t="n">
        <x:v>42</x:v>
      </x:c>
      <x:c r="B48" s="26" t="str">
        <x:v>Contabilidad auxiliar y cierres</x:v>
      </x:c>
      <x:c r="C48" s="26" t="str">
        <x:v>Conciliación de auxiliares y mayor</x:v>
      </x:c>
      <x:c r="D48" s="7"/>
      <x:c r="E48" s="26" t="str">
        <x:v>Mayor, auxiliares, bancos, soportes y período</x:v>
      </x:c>
      <x:c r="F48" s="26" t="str">
        <x:v>Diferencias, antigüedad, responsable y plan de corrección.</x:v>
      </x:c>
      <x:c r="G48" s="3" t="n">
        <x:v>9</x:v>
      </x:c>
      <x:c r="H48" s="29"/>
      <x:c r="I48" s="29"/>
      <x:c r="J48" s="30"/>
      <x:c r="K48" s="30"/>
      <x:c r="L48" s="29"/>
      <x:c r="M48" s="29"/>
      <x:c r="N48" s="29"/>
      <x:c r="O48" s="29"/>
      <x:c r="P48" s="29"/>
      <x:c r="Q48" s="30"/>
      <x:c r="R48" s="29"/>
      <x:c r="S48" s="3" t="str">
        <x:f>IF(D48&lt;&gt;"Sí","",IF(P48="Sí","Cerrado",IF(K48="","Sin fecha",IF(K48&lt;TODAY(),"Vencido",IF(K48&lt;=TODAY()+3,"Próximo","En curso")))))</x:f>
      </x:c>
      <x:c r="T48" s="3"/>
    </x:row>
    <x:row r="49" ht="52" customHeight="1">
      <x:c r="A49" s="3" t="n">
        <x:v>43</x:v>
      </x:c>
      <x:c r="B49" s="26" t="str">
        <x:v>Contabilidad auxiliar y cierres</x:v>
      </x:c>
      <x:c r="C49" s="26" t="str">
        <x:v>Revisión de soportes contables</x:v>
      </x:c>
      <x:c r="D49" s="7"/>
      <x:c r="E49" s="26" t="str">
        <x:v>Mayor, auxiliares, bancos, soportes y período</x:v>
      </x:c>
      <x:c r="F49" s="26" t="str">
        <x:v>Relación de registros sin soporte o con soporte insuficiente.</x:v>
      </x:c>
      <x:c r="G49" s="3" t="n">
        <x:v>9</x:v>
      </x:c>
      <x:c r="H49" s="29"/>
      <x:c r="I49" s="29"/>
      <x:c r="J49" s="30"/>
      <x:c r="K49" s="30"/>
      <x:c r="L49" s="29"/>
      <x:c r="M49" s="29"/>
      <x:c r="N49" s="29"/>
      <x:c r="O49" s="29"/>
      <x:c r="P49" s="29"/>
      <x:c r="Q49" s="30"/>
      <x:c r="R49" s="29"/>
      <x:c r="S49" s="3" t="str">
        <x:f>IF(D49&lt;&gt;"Sí","",IF(P49="Sí","Cerrado",IF(K49="","Sin fecha",IF(K49&lt;TODAY(),"Vencido",IF(K49&lt;=TODAY()+3,"Próximo","En curso")))))</x:f>
      </x:c>
      <x:c r="T49" s="3"/>
    </x:row>
    <x:row r="50" ht="52" customHeight="1">
      <x:c r="A50" s="3" t="n">
        <x:v>44</x:v>
      </x:c>
      <x:c r="B50" s="26" t="str">
        <x:v>Contabilidad auxiliar y cierres</x:v>
      </x:c>
      <x:c r="C50" s="26" t="str">
        <x:v>Análisis asistido de estados de cuenta</x:v>
      </x:c>
      <x:c r="D50" s="7"/>
      <x:c r="E50" s="26" t="str">
        <x:v>Mayor, auxiliares, bancos, soportes y período</x:v>
      </x:c>
      <x:c r="F50" s="26" t="str">
        <x:v>Diario bancario estructurado, resumen y operaciones por aclarar.</x:v>
      </x:c>
      <x:c r="G50" s="3" t="n">
        <x:v>9</x:v>
      </x:c>
      <x:c r="H50" s="29"/>
      <x:c r="I50" s="29"/>
      <x:c r="J50" s="30"/>
      <x:c r="K50" s="30"/>
      <x:c r="L50" s="29"/>
      <x:c r="M50" s="29"/>
      <x:c r="N50" s="29"/>
      <x:c r="O50" s="29"/>
      <x:c r="P50" s="29"/>
      <x:c r="Q50" s="30"/>
      <x:c r="R50" s="29"/>
      <x:c r="S50" s="3" t="str">
        <x:f>IF(D50&lt;&gt;"Sí","",IF(P50="Sí","Cerrado",IF(K50="","Sin fecha",IF(K50&lt;TODAY(),"Vencido",IF(K50&lt;=TODAY()+3,"Próximo","En curso")))))</x:f>
      </x:c>
      <x:c r="T50" s="3"/>
    </x:row>
    <x:row r="51" ht="52" customHeight="1">
      <x:c r="A51" t="n">
        <x:v>45</x:v>
      </x:c>
      <x:c r="B51" s="33" t="str">
        <x:v>Contabilidad auxiliar y cierres</x:v>
      </x:c>
      <x:c r="C51" s="33" t="str">
        <x:v>Conciliación bancaria asistida</x:v>
      </x:c>
      <x:c r="D51" s="28"/>
      <x:c r="E51" s="33" t="str">
        <x:v>Mayor, auxiliares, bancos, soportes y período</x:v>
      </x:c>
      <x:c r="F51" s="33" t="str">
        <x:v>Conciliación, partidas pendientes y evidencia de revisión.</x:v>
      </x:c>
      <x:c r="G51" t="n">
        <x:v>9</x:v>
      </x:c>
      <x:c r="H51" s="31"/>
      <x:c r="I51" s="31"/>
      <x:c r="J51" s="32"/>
      <x:c r="K51" s="32"/>
      <x:c r="L51" s="31"/>
      <x:c r="M51" s="31"/>
      <x:c r="N51" s="31"/>
      <x:c r="O51" s="31"/>
      <x:c r="P51" s="31"/>
      <x:c r="Q51" s="32"/>
      <x:c r="R51" s="31"/>
      <x:c r="S51" s="3" t="str">
        <x:f>IF(D51&lt;&gt;"Sí","",IF(P51="Sí","Cerrado",IF(K51="","Sin fecha",IF(K51&lt;TODAY(),"Vencido",IF(K51&lt;=TODAY()+3,"Próximo","En curso")))))</x:f>
      </x:c>
      <x:c r="T51"/>
    </x:row>
    <x:row r="52" ht="52" customHeight="1">
      <x:c r="A52" t="n">
        <x:v>46</x:v>
      </x:c>
      <x:c r="B52" s="33" t="str">
        <x:v>Contabilidad auxiliar y cierres</x:v>
      </x:c>
      <x:c r="C52" s="33" t="str">
        <x:v>Detección de movimientos duplicados o inusuales</x:v>
      </x:c>
      <x:c r="D52" s="28"/>
      <x:c r="E52" s="33" t="str">
        <x:v>Mayor, auxiliares, bancos, soportes y período</x:v>
      </x:c>
      <x:c r="F52" s="33" t="str">
        <x:v>Alertas priorizadas y trazabilidad de las filas analizadas.</x:v>
      </x:c>
      <x:c r="G52" t="n">
        <x:v>9</x:v>
      </x:c>
      <x:c r="H52" s="31"/>
      <x:c r="I52" s="31"/>
      <x:c r="J52" s="32"/>
      <x:c r="K52" s="32"/>
      <x:c r="L52" s="31"/>
      <x:c r="M52" s="31"/>
      <x:c r="N52" s="31"/>
      <x:c r="O52" s="31"/>
      <x:c r="P52" s="31"/>
      <x:c r="Q52" s="32"/>
      <x:c r="R52" s="31"/>
      <x:c r="S52" s="3" t="str">
        <x:f>IF(D52&lt;&gt;"Sí","",IF(P52="Sí","Cerrado",IF(K52="","Sin fecha",IF(K52&lt;TODAY(),"Vencido",IF(K52&lt;=TODAY()+3,"Próximo","En curso")))))</x:f>
      </x:c>
      <x:c r="T52"/>
    </x:row>
    <x:row r="53" ht="52" customHeight="1">
      <x:c r="A53" t="n">
        <x:v>47</x:v>
      </x:c>
      <x:c r="B53" s="33" t="str">
        <x:v>Análisis económico-financiero</x:v>
      </x:c>
      <x:c r="C53" s="33" t="str">
        <x:v>Resumen diario de tesorería</x:v>
      </x:c>
      <x:c r="D53" s="28"/>
      <x:c r="E53" s="33" t="str">
        <x:v>Ingresos, gastos, movimientos, período y moneda</x:v>
      </x:c>
      <x:c r="F53" s="33" t="str">
        <x:v>Parte diario para dirección y tesorería.</x:v>
      </x:c>
      <x:c r="G53" t="n">
        <x:v>7</x:v>
      </x:c>
      <x:c r="H53" s="31"/>
      <x:c r="I53" s="31"/>
      <x:c r="J53" s="32"/>
      <x:c r="K53" s="32"/>
      <x:c r="L53" s="31"/>
      <x:c r="M53" s="31"/>
      <x:c r="N53" s="31"/>
      <x:c r="O53" s="31"/>
      <x:c r="P53" s="31"/>
      <x:c r="Q53" s="32"/>
      <x:c r="R53" s="31"/>
      <x:c r="S53" s="3" t="str">
        <x:f>IF(D53&lt;&gt;"Sí","",IF(P53="Sí","Cerrado",IF(K53="","Sin fecha",IF(K53&lt;TODAY(),"Vencido",IF(K53&lt;=TODAY()+3,"Próximo","En curso")))))</x:f>
      </x:c>
      <x:c r="T53"/>
    </x:row>
    <x:row r="54" ht="52" customHeight="1">
      <x:c r="A54" t="n">
        <x:v>48</x:v>
      </x:c>
      <x:c r="B54" s="33" t="str">
        <x:v>Análisis económico-financiero</x:v>
      </x:c>
      <x:c r="C54" s="33" t="str">
        <x:v>Proyección de liquidez</x:v>
      </x:c>
      <x:c r="D54" s="28"/>
      <x:c r="E54" s="33" t="str">
        <x:v>Ingresos, gastos, movimientos, período y moneda</x:v>
      </x:c>
      <x:c r="F54" s="33" t="str">
        <x:v>Flujo de caja proyectado y alertas de déficit o excedente.</x:v>
      </x:c>
      <x:c r="G54" t="n">
        <x:v>7</x:v>
      </x:c>
      <x:c r="H54" s="31"/>
      <x:c r="I54" s="31"/>
      <x:c r="J54" s="32"/>
      <x:c r="K54" s="32"/>
      <x:c r="L54" s="31"/>
      <x:c r="M54" s="31"/>
      <x:c r="N54" s="31"/>
      <x:c r="O54" s="31"/>
      <x:c r="P54" s="31"/>
      <x:c r="Q54" s="32"/>
      <x:c r="R54" s="31"/>
      <x:c r="S54" s="3" t="str">
        <x:f>IF(D54&lt;&gt;"Sí","",IF(P54="Sí","Cerrado",IF(K54="","Sin fecha",IF(K54&lt;TODAY(),"Vencido",IF(K54&lt;=TODAY()+3,"Próximo","En curso")))))</x:f>
      </x:c>
      <x:c r="T54"/>
    </x:row>
    <x:row r="55" ht="52" customHeight="1">
      <x:c r="A55" t="n">
        <x:v>49</x:v>
      </x:c>
      <x:c r="B55" s="33" t="str">
        <x:v>Contabilidad auxiliar y cierres</x:v>
      </x:c>
      <x:c r="C55" s="33" t="str">
        <x:v>Investigación de operaciones</x:v>
      </x:c>
      <x:c r="D55" s="28"/>
      <x:c r="E55" s="33" t="str">
        <x:v>Mayor, auxiliares, bancos, soportes y período</x:v>
      </x:c>
      <x:c r="F55" s="33" t="str">
        <x:v>Cadena de evidencia y explicación documentada.</x:v>
      </x:c>
      <x:c r="G55" t="n">
        <x:v>9</x:v>
      </x:c>
      <x:c r="H55" s="31"/>
      <x:c r="I55" s="31"/>
      <x:c r="J55" s="32"/>
      <x:c r="K55" s="32"/>
      <x:c r="L55" s="31"/>
      <x:c r="M55" s="31"/>
      <x:c r="N55" s="31"/>
      <x:c r="O55" s="31"/>
      <x:c r="P55" s="31"/>
      <x:c r="Q55" s="32"/>
      <x:c r="R55" s="31"/>
      <x:c r="S55" s="3" t="str">
        <x:f>IF(D55&lt;&gt;"Sí","",IF(P55="Sí","Cerrado",IF(K55="","Sin fecha",IF(K55&lt;TODAY(),"Vencido",IF(K55&lt;=TODAY()+3,"Próximo","En curso")))))</x:f>
      </x:c>
      <x:c r="T55"/>
    </x:row>
    <x:row r="56" ht="52" customHeight="1">
      <x:c r="A56" t="n">
        <x:v>50</x:v>
      </x:c>
      <x:c r="B56" s="33" t="str">
        <x:v>Análisis económico-financiero</x:v>
      </x:c>
      <x:c r="C56" s="33" t="str">
        <x:v>Análisis financiero periódico</x:v>
      </x:c>
      <x:c r="D56" s="28"/>
      <x:c r="E56" s="33" t="str">
        <x:v>Ingresos, gastos, movimientos, período y moneda</x:v>
      </x:c>
      <x:c r="F56" s="33" t="str">
        <x:v>Informe financiero, gráficos y decisiones sugeridas para análisis.</x:v>
      </x:c>
      <x:c r="G56" t="n">
        <x:v>7</x:v>
      </x:c>
      <x:c r="H56" s="31"/>
      <x:c r="I56" s="31"/>
      <x:c r="J56" s="32"/>
      <x:c r="K56" s="32"/>
      <x:c r="L56" s="31"/>
      <x:c r="M56" s="31"/>
      <x:c r="N56" s="31"/>
      <x:c r="O56" s="31"/>
      <x:c r="P56" s="31"/>
      <x:c r="Q56" s="32"/>
      <x:c r="R56" s="31"/>
      <x:c r="S56" s="3" t="str">
        <x:f>IF(D56&lt;&gt;"Sí","",IF(P56="Sí","Cerrado",IF(K56="","Sin fecha",IF(K56&lt;TODAY(),"Vencido",IF(K56&lt;=TODAY()+3,"Próximo","En curso")))))</x:f>
      </x:c>
      <x:c r="T56"/>
    </x:row>
    <x:row r="57" ht="52" customHeight="1">
      <x:c r="A57" t="n">
        <x:v>51</x:v>
      </x:c>
      <x:c r="B57" s="33" t="str">
        <x:v>Presupuestos y costos</x:v>
      </x:c>
      <x:c r="C57" s="33" t="str">
        <x:v>Elaboración de presupuestos</x:v>
      </x:c>
      <x:c r="D57" s="28"/>
      <x:c r="E57" s="33" t="str">
        <x:v>Plan, ejecución, costos, cantidades y precio</x:v>
      </x:c>
      <x:c r="F57" s="33" t="str">
        <x:v>Presupuesto integrado, escenarios y notas de supuestos.</x:v>
      </x:c>
      <x:c r="G57" t="n">
        <x:v>7</x:v>
      </x:c>
      <x:c r="H57" s="31"/>
      <x:c r="I57" s="31"/>
      <x:c r="J57" s="32"/>
      <x:c r="K57" s="32"/>
      <x:c r="L57" s="31"/>
      <x:c r="M57" s="31"/>
      <x:c r="N57" s="31"/>
      <x:c r="O57" s="31"/>
      <x:c r="P57" s="31"/>
      <x:c r="Q57" s="32"/>
      <x:c r="R57" s="31"/>
      <x:c r="S57" s="3" t="str">
        <x:f>IF(D57&lt;&gt;"Sí","",IF(P57="Sí","Cerrado",IF(K57="","Sin fecha",IF(K57&lt;TODAY(),"Vencido",IF(K57&lt;=TODAY()+3,"Próximo","En curso")))))</x:f>
      </x:c>
      <x:c r="T57"/>
    </x:row>
    <x:row r="58" ht="52" customHeight="1">
      <x:c r="A58" t="n">
        <x:v>52</x:v>
      </x:c>
      <x:c r="B58" s="33" t="str">
        <x:v>Presupuestos y costos</x:v>
      </x:c>
      <x:c r="C58" s="33" t="str">
        <x:v>Control presupuestario</x:v>
      </x:c>
      <x:c r="D58" s="28"/>
      <x:c r="E58" s="33" t="str">
        <x:v>Plan, ejecución, costos, cantidades y precio</x:v>
      </x:c>
      <x:c r="F58" s="33" t="str">
        <x:v>Reporte plan real, semáforos y medidas correctivas.</x:v>
      </x:c>
      <x:c r="G58" t="n">
        <x:v>7</x:v>
      </x:c>
      <x:c r="H58" s="31"/>
      <x:c r="I58" s="31"/>
      <x:c r="J58" s="32"/>
      <x:c r="K58" s="32"/>
      <x:c r="L58" s="31"/>
      <x:c r="M58" s="31"/>
      <x:c r="N58" s="31"/>
      <x:c r="O58" s="31"/>
      <x:c r="P58" s="31"/>
      <x:c r="Q58" s="32"/>
      <x:c r="R58" s="31"/>
      <x:c r="S58" s="3" t="str">
        <x:f>IF(D58&lt;&gt;"Sí","",IF(P58="Sí","Cerrado",IF(K58="","Sin fecha",IF(K58&lt;TODAY(),"Vencido",IF(K58&lt;=TODAY()+3,"Próximo","En curso")))))</x:f>
      </x:c>
      <x:c r="T58"/>
    </x:row>
    <x:row r="59" ht="52" customHeight="1">
      <x:c r="A59" t="n">
        <x:v>53</x:v>
      </x:c>
      <x:c r="B59" s="33" t="str">
        <x:v>Presupuestos y costos</x:v>
      </x:c>
      <x:c r="C59" s="33" t="str">
        <x:v>Cálculo y análisis de costos</x:v>
      </x:c>
      <x:c r="D59" s="28"/>
      <x:c r="E59" s="33" t="str">
        <x:v>Plan, ejecución, costos, cantidades y precio</x:v>
      </x:c>
      <x:c r="F59" s="33" t="str">
        <x:v>Ficha de costo, costo unitario y análisis de variación.</x:v>
      </x:c>
      <x:c r="G59" t="n">
        <x:v>7</x:v>
      </x:c>
      <x:c r="H59" s="31"/>
      <x:c r="I59" s="31"/>
      <x:c r="J59" s="32"/>
      <x:c r="K59" s="32"/>
      <x:c r="L59" s="31"/>
      <x:c r="M59" s="31"/>
      <x:c r="N59" s="31"/>
      <x:c r="O59" s="31"/>
      <x:c r="P59" s="31"/>
      <x:c r="Q59" s="32"/>
      <x:c r="R59" s="31"/>
      <x:c r="S59" s="3" t="str">
        <x:f>IF(D59&lt;&gt;"Sí","",IF(P59="Sí","Cerrado",IF(K59="","Sin fecha",IF(K59&lt;TODAY(),"Vencido",IF(K59&lt;=TODAY()+3,"Próximo","En curso")))))</x:f>
      </x:c>
      <x:c r="T59"/>
    </x:row>
    <x:row r="60" ht="52" customHeight="1">
      <x:c r="A60" t="n">
        <x:v>54</x:v>
      </x:c>
      <x:c r="B60" s="33" t="str">
        <x:v>Presupuestos y costos</x:v>
      </x:c>
      <x:c r="C60" s="33" t="str">
        <x:v>Análisis de rentabilidad</x:v>
      </x:c>
      <x:c r="D60" s="28"/>
      <x:c r="E60" s="33" t="str">
        <x:v>Plan, ejecución, costos, cantidades y precio</x:v>
      </x:c>
      <x:c r="F60" s="33" t="str">
        <x:v>Ranking de rentabilidad y causas de pérdida o deterioro.</x:v>
      </x:c>
      <x:c r="G60" t="n">
        <x:v>7</x:v>
      </x:c>
      <x:c r="H60" s="31"/>
      <x:c r="I60" s="31"/>
      <x:c r="J60" s="32"/>
      <x:c r="K60" s="32"/>
      <x:c r="L60" s="31"/>
      <x:c r="M60" s="31"/>
      <x:c r="N60" s="31"/>
      <x:c r="O60" s="31"/>
      <x:c r="P60" s="31"/>
      <x:c r="Q60" s="32"/>
      <x:c r="R60" s="31"/>
      <x:c r="S60" s="3" t="str">
        <x:f>IF(D60&lt;&gt;"Sí","",IF(P60="Sí","Cerrado",IF(K60="","Sin fecha",IF(K60&lt;TODAY(),"Vencido",IF(K60&lt;=TODAY()+3,"Próximo","En curso")))))</x:f>
      </x:c>
      <x:c r="T60"/>
    </x:row>
    <x:row r="61" ht="52" customHeight="1">
      <x:c r="A61" t="n">
        <x:v>55</x:v>
      </x:c>
      <x:c r="B61" s="33" t="str">
        <x:v>Análisis económico-financiero</x:v>
      </x:c>
      <x:c r="C61" s="33" t="str">
        <x:v>Evaluación de escenarios</x:v>
      </x:c>
      <x:c r="D61" s="28"/>
      <x:c r="E61" s="33" t="str">
        <x:v>Ingresos, gastos, movimientos, período y moneda</x:v>
      </x:c>
      <x:c r="F61" s="33" t="str">
        <x:v>Escenarios base, conservador y exigente, con variables críticas.</x:v>
      </x:c>
      <x:c r="G61" t="n">
        <x:v>7</x:v>
      </x:c>
      <x:c r="H61" s="31"/>
      <x:c r="I61" s="31"/>
      <x:c r="J61" s="32"/>
      <x:c r="K61" s="32"/>
      <x:c r="L61" s="31"/>
      <x:c r="M61" s="31"/>
      <x:c r="N61" s="31"/>
      <x:c r="O61" s="31"/>
      <x:c r="P61" s="31"/>
      <x:c r="Q61" s="32"/>
      <x:c r="R61" s="31"/>
      <x:c r="S61" s="3" t="str">
        <x:f>IF(D61&lt;&gt;"Sí","",IF(P61="Sí","Cerrado",IF(K61="","Sin fecha",IF(K61&lt;TODAY(),"Vencido",IF(K61&lt;=TODAY()+3,"Próximo","En curso")))))</x:f>
      </x:c>
      <x:c r="T61"/>
    </x:row>
    <x:row r="62" ht="52" customHeight="1">
      <x:c r="A62" t="n">
        <x:v>56</x:v>
      </x:c>
      <x:c r="B62" s="33" t="str">
        <x:v>Factibilidad y proyectos</x:v>
      </x:c>
      <x:c r="C62" s="33" t="str">
        <x:v>Preparación de expedientes de financiamiento</x:v>
      </x:c>
      <x:c r="D62" s="28"/>
      <x:c r="E62" s="33" t="str">
        <x:v>Idea, mercado, recursos, inversión y escenarios</x:v>
      </x:c>
      <x:c r="F62" s="33" t="str">
        <x:v>Índice, documentos preparados, faltantes y resumen del proyecto.</x:v>
      </x:c>
      <x:c r="G62" t="n">
        <x:v>8</x:v>
      </x:c>
      <x:c r="H62" s="31"/>
      <x:c r="I62" s="31"/>
      <x:c r="J62" s="32"/>
      <x:c r="K62" s="32"/>
      <x:c r="L62" s="31"/>
      <x:c r="M62" s="31"/>
      <x:c r="N62" s="31"/>
      <x:c r="O62" s="31"/>
      <x:c r="P62" s="31"/>
      <x:c r="Q62" s="32"/>
      <x:c r="R62" s="31"/>
      <x:c r="S62" s="3" t="str">
        <x:f>IF(D62&lt;&gt;"Sí","",IF(P62="Sí","Cerrado",IF(K62="","Sin fecha",IF(K62&lt;TODAY(),"Vencido",IF(K62&lt;=TODAY()+3,"Próximo","En curso")))))</x:f>
      </x:c>
      <x:c r="T62"/>
    </x:row>
    <x:row r="63" ht="52" customHeight="1">
      <x:c r="A63" t="n">
        <x:v>57</x:v>
      </x:c>
      <x:c r="B63" s="33" t="str">
        <x:v>Tributos y seguridad social</x:v>
      </x:c>
      <x:c r="C63" s="33" t="str">
        <x:v>Calendario tributario personalizado</x:v>
      </x:c>
      <x:c r="D63" s="28"/>
      <x:c r="E63" s="33" t="str">
        <x:v>NIT, actor, actividad, período y obligaciones</x:v>
      </x:c>
      <x:c r="F63" s="33" t="str">
        <x:v>Calendario y alertas previas.</x:v>
      </x:c>
      <x:c r="G63" t="n">
        <x:v>10</x:v>
      </x:c>
      <x:c r="H63" s="31"/>
      <x:c r="I63" s="31"/>
      <x:c r="J63" s="32"/>
      <x:c r="K63" s="32"/>
      <x:c r="L63" s="31"/>
      <x:c r="M63" s="31"/>
      <x:c r="N63" s="31"/>
      <x:c r="O63" s="31"/>
      <x:c r="P63" s="31"/>
      <x:c r="Q63" s="32"/>
      <x:c r="R63" s="31"/>
      <x:c r="S63" s="3" t="str">
        <x:f>IF(D63&lt;&gt;"Sí","",IF(P63="Sí","Cerrado",IF(K63="","Sin fecha",IF(K63&lt;TODAY(),"Vencido",IF(K63&lt;=TODAY()+3,"Próximo","En curso")))))</x:f>
      </x:c>
      <x:c r="T63"/>
    </x:row>
    <x:row r="64" ht="52" customHeight="1">
      <x:c r="A64" t="n">
        <x:v>58</x:v>
      </x:c>
      <x:c r="B64" s="33" t="str">
        <x:v>Tributos y seguridad social</x:v>
      </x:c>
      <x:c r="C64" s="33" t="str">
        <x:v>Revisión de aportes y tributos</x:v>
      </x:c>
      <x:c r="D64" s="28"/>
      <x:c r="E64" s="33" t="str">
        <x:v>NIT, actor, actividad, período y obligaciones</x:v>
      </x:c>
      <x:c r="F64" s="33" t="str">
        <x:v>Hoja de comprobación y lista de inconsistencias.</x:v>
      </x:c>
      <x:c r="G64" t="n">
        <x:v>10</x:v>
      </x:c>
      <x:c r="H64" s="31"/>
      <x:c r="I64" s="31"/>
      <x:c r="J64" s="32"/>
      <x:c r="K64" s="32"/>
      <x:c r="L64" s="31"/>
      <x:c r="M64" s="31"/>
      <x:c r="N64" s="31"/>
      <x:c r="O64" s="31"/>
      <x:c r="P64" s="31"/>
      <x:c r="Q64" s="32"/>
      <x:c r="R64" s="31"/>
      <x:c r="S64" s="3" t="str">
        <x:f>IF(D64&lt;&gt;"Sí","",IF(P64="Sí","Cerrado",IF(K64="","Sin fecha",IF(K64&lt;TODAY(),"Vencido",IF(K64&lt;=TODAY()+3,"Próximo","En curso")))))</x:f>
      </x:c>
      <x:c r="T64"/>
    </x:row>
    <x:row r="65" ht="52" customHeight="1">
      <x:c r="A65" t="n">
        <x:v>59</x:v>
      </x:c>
      <x:c r="B65" s="33" t="str">
        <x:v>Tributos y seguridad social</x:v>
      </x:c>
      <x:c r="C65" s="33" t="str">
        <x:v>Conciliación fiscal contable</x:v>
      </x:c>
      <x:c r="D65" s="28"/>
      <x:c r="E65" s="33" t="str">
        <x:v>NIT, actor, actividad, período y obligaciones</x:v>
      </x:c>
      <x:c r="F65" s="33" t="str">
        <x:v>Conciliación, diferencias explicadas y acciones pendientes.</x:v>
      </x:c>
      <x:c r="G65" t="n">
        <x:v>10</x:v>
      </x:c>
      <x:c r="H65" s="31"/>
      <x:c r="I65" s="31"/>
      <x:c r="J65" s="32"/>
      <x:c r="K65" s="32"/>
      <x:c r="L65" s="31"/>
      <x:c r="M65" s="31"/>
      <x:c r="N65" s="31"/>
      <x:c r="O65" s="31"/>
      <x:c r="P65" s="31"/>
      <x:c r="Q65" s="32"/>
      <x:c r="R65" s="31"/>
      <x:c r="S65" s="3" t="str">
        <x:f>IF(D65&lt;&gt;"Sí","",IF(P65="Sí","Cerrado",IF(K65="","Sin fecha",IF(K65&lt;TODAY(),"Vencido",IF(K65&lt;=TODAY()+3,"Próximo","En curso")))))</x:f>
      </x:c>
      <x:c r="T65"/>
    </x:row>
    <x:row r="66" ht="52" customHeight="1">
      <x:c r="A66" t="n">
        <x:v>60</x:v>
      </x:c>
      <x:c r="B66" s="33" t="str">
        <x:v>Tributos y seguridad social</x:v>
      </x:c>
      <x:c r="C66" s="33" t="str">
        <x:v>Preparación documental de declaraciones</x:v>
      </x:c>
      <x:c r="D66" s="28"/>
      <x:c r="E66" s="33" t="str">
        <x:v>NIT, actor, actividad, período y obligaciones</x:v>
      </x:c>
      <x:c r="F66" s="33" t="str">
        <x:v>Paquete de trabajo y control de integridad.</x:v>
      </x:c>
      <x:c r="G66" t="n">
        <x:v>10</x:v>
      </x:c>
      <x:c r="H66" s="31"/>
      <x:c r="I66" s="31"/>
      <x:c r="J66" s="32"/>
      <x:c r="K66" s="32"/>
      <x:c r="L66" s="31"/>
      <x:c r="M66" s="31"/>
      <x:c r="N66" s="31"/>
      <x:c r="O66" s="31"/>
      <x:c r="P66" s="31"/>
      <x:c r="Q66" s="32"/>
      <x:c r="R66" s="31"/>
      <x:c r="S66" s="3" t="str">
        <x:f>IF(D66&lt;&gt;"Sí","",IF(P66="Sí","Cerrado",IF(K66="","Sin fecha",IF(K66&lt;TODAY(),"Vencido",IF(K66&lt;=TODAY()+3,"Próximo","En curso")))))</x:f>
      </x:c>
      <x:c r="T66"/>
    </x:row>
    <x:row r="67" ht="52" customHeight="1">
      <x:c r="A67" t="n">
        <x:v>61</x:v>
      </x:c>
      <x:c r="B67" s="33" t="str">
        <x:v>Tributos y seguridad social</x:v>
      </x:c>
      <x:c r="C67" s="33" t="str">
        <x:v>Seguimiento de requerimientos fiscales</x:v>
      </x:c>
      <x:c r="D67" s="28"/>
      <x:c r="E67" s="33" t="str">
        <x:v>NIT, actor, actividad, período y obligaciones</x:v>
      </x:c>
      <x:c r="F67" s="33" t="str">
        <x:v>Expediente de requerimiento y alertas de vencimiento.</x:v>
      </x:c>
      <x:c r="G67" t="n">
        <x:v>10</x:v>
      </x:c>
      <x:c r="H67" s="31"/>
      <x:c r="I67" s="31"/>
      <x:c r="J67" s="32"/>
      <x:c r="K67" s="32"/>
      <x:c r="L67" s="31"/>
      <x:c r="M67" s="31"/>
      <x:c r="N67" s="31"/>
      <x:c r="O67" s="31"/>
      <x:c r="P67" s="31"/>
      <x:c r="Q67" s="32"/>
      <x:c r="R67" s="31"/>
      <x:c r="S67" s="3" t="str">
        <x:f>IF(D67&lt;&gt;"Sí","",IF(P67="Sí","Cerrado",IF(K67="","Sin fecha",IF(K67&lt;TODAY(),"Vencido",IF(K67&lt;=TODAY()+3,"Próximo","En curso")))))</x:f>
      </x:c>
      <x:c r="T67"/>
    </x:row>
    <x:row r="68" ht="52" customHeight="1">
      <x:c r="A68" t="n">
        <x:v>62</x:v>
      </x:c>
      <x:c r="B68" s="33" t="str">
        <x:v>Tributos y seguridad social</x:v>
      </x:c>
      <x:c r="C68" s="33" t="str">
        <x:v>Análisis de exposición fiscal</x:v>
      </x:c>
      <x:c r="D68" s="28"/>
      <x:c r="E68" s="33" t="str">
        <x:v>NIT, actor, actividad, período y obligaciones</x:v>
      </x:c>
      <x:c r="F68" s="33" t="str">
        <x:v>Mapa de riesgos fiscales y plan preventivo.</x:v>
      </x:c>
      <x:c r="G68" t="n">
        <x:v>10</x:v>
      </x:c>
      <x:c r="H68" s="31"/>
      <x:c r="I68" s="31"/>
      <x:c r="J68" s="32"/>
      <x:c r="K68" s="32"/>
      <x:c r="L68" s="31"/>
      <x:c r="M68" s="31"/>
      <x:c r="N68" s="31"/>
      <x:c r="O68" s="31"/>
      <x:c r="P68" s="31"/>
      <x:c r="Q68" s="32"/>
      <x:c r="R68" s="31"/>
      <x:c r="S68" s="3" t="str">
        <x:f>IF(D68&lt;&gt;"Sí","",IF(P68="Sí","Cerrado",IF(K68="","Sin fecha",IF(K68&lt;TODAY(),"Vencido",IF(K68&lt;=TODAY()+3,"Próximo","En curso")))))</x:f>
      </x:c>
      <x:c r="T68"/>
    </x:row>
    <x:row r="69" ht="52" customHeight="1">
      <x:c r="A69" t="n">
        <x:v>63</x:v>
      </x:c>
      <x:c r="B69" s="33" t="str">
        <x:v>Apoyo laboral y contractual</x:v>
      </x:c>
      <x:c r="C69" s="33" t="str">
        <x:v>Preparación de contratos empresariales</x:v>
      </x:c>
      <x:c r="D69" s="28"/>
      <x:c r="E69" s="33" t="str">
        <x:v>Partes, relación, condiciones y autorización</x:v>
      </x:c>
      <x:c r="F69" s="33" t="str">
        <x:v>Borrador contractual y ficha de datos pendientes.</x:v>
      </x:c>
      <x:c r="G69" t="n">
        <x:v>6</x:v>
      </x:c>
      <x:c r="H69" s="31"/>
      <x:c r="I69" s="31"/>
      <x:c r="J69" s="32"/>
      <x:c r="K69" s="32"/>
      <x:c r="L69" s="31"/>
      <x:c r="M69" s="31"/>
      <x:c r="N69" s="31"/>
      <x:c r="O69" s="31"/>
      <x:c r="P69" s="31"/>
      <x:c r="Q69" s="32"/>
      <x:c r="R69" s="31"/>
      <x:c r="S69" s="3" t="str">
        <x:f>IF(D69&lt;&gt;"Sí","",IF(P69="Sí","Cerrado",IF(K69="","Sin fecha",IF(K69&lt;TODAY(),"Vencido",IF(K69&lt;=TODAY()+3,"Próximo","En curso")))))</x:f>
      </x:c>
      <x:c r="T69"/>
    </x:row>
    <x:row r="70" ht="52" customHeight="1">
      <x:c r="A70" t="n">
        <x:v>64</x:v>
      </x:c>
      <x:c r="B70" s="33" t="str">
        <x:v>Apoyo laboral y contractual</x:v>
      </x:c>
      <x:c r="C70" s="33" t="str">
        <x:v>Revisión contractual</x:v>
      </x:c>
      <x:c r="D70" s="28"/>
      <x:c r="E70" s="33" t="str">
        <x:v>Partes, relación, condiciones y autorización</x:v>
      </x:c>
      <x:c r="F70" s="33" t="str">
        <x:v>Matriz de observaciones y propuesta de ajustes.</x:v>
      </x:c>
      <x:c r="G70" t="n">
        <x:v>6</x:v>
      </x:c>
      <x:c r="H70" s="31"/>
      <x:c r="I70" s="31"/>
      <x:c r="J70" s="32"/>
      <x:c r="K70" s="32"/>
      <x:c r="L70" s="31"/>
      <x:c r="M70" s="31"/>
      <x:c r="N70" s="31"/>
      <x:c r="O70" s="31"/>
      <x:c r="P70" s="31"/>
      <x:c r="Q70" s="32"/>
      <x:c r="R70" s="31"/>
      <x:c r="S70" s="3" t="str">
        <x:f>IF(D70&lt;&gt;"Sí","",IF(P70="Sí","Cerrado",IF(K70="","Sin fecha",IF(K70&lt;TODAY(),"Vencido",IF(K70&lt;=TODAY()+3,"Próximo","En curso")))))</x:f>
      </x:c>
      <x:c r="T70"/>
    </x:row>
    <x:row r="71" ht="52" customHeight="1">
      <x:c r="A71" t="n">
        <x:v>65</x:v>
      </x:c>
      <x:c r="B71" s="33" t="str">
        <x:v>Apoyo laboral y contractual</x:v>
      </x:c>
      <x:c r="C71" s="33" t="str">
        <x:v>Resumen de obligaciones contractuales</x:v>
      </x:c>
      <x:c r="D71" s="28"/>
      <x:c r="E71" s="33" t="str">
        <x:v>Partes, relación, condiciones y autorización</x:v>
      </x:c>
      <x:c r="F71" s="33" t="str">
        <x:v>Ficha de contrato y calendario de obligaciones.</x:v>
      </x:c>
      <x:c r="G71" t="n">
        <x:v>6</x:v>
      </x:c>
      <x:c r="H71" s="31"/>
      <x:c r="I71" s="31"/>
      <x:c r="J71" s="32"/>
      <x:c r="K71" s="32"/>
      <x:c r="L71" s="31"/>
      <x:c r="M71" s="31"/>
      <x:c r="N71" s="31"/>
      <x:c r="O71" s="31"/>
      <x:c r="P71" s="31"/>
      <x:c r="Q71" s="32"/>
      <x:c r="R71" s="31"/>
      <x:c r="S71" s="3" t="str">
        <x:f>IF(D71&lt;&gt;"Sí","",IF(P71="Sí","Cerrado",IF(K71="","Sin fecha",IF(K71&lt;TODAY(),"Vencido",IF(K71&lt;=TODAY()+3,"Próximo","En curso")))))</x:f>
      </x:c>
      <x:c r="T71"/>
    </x:row>
    <x:row r="72" ht="52" customHeight="1">
      <x:c r="A72" t="n">
        <x:v>66</x:v>
      </x:c>
      <x:c r="B72" s="33" t="str">
        <x:v>Apoyo laboral y contractual</x:v>
      </x:c>
      <x:c r="C72" s="33" t="str">
        <x:v>Control del ciclo contractual</x:v>
      </x:c>
      <x:c r="D72" s="28"/>
      <x:c r="E72" s="33" t="str">
        <x:v>Partes, relación, condiciones y autorización</x:v>
      </x:c>
      <x:c r="F72" s="33" t="str">
        <x:v>Panel contractual y expediente por contraparte.</x:v>
      </x:c>
      <x:c r="G72" t="n">
        <x:v>6</x:v>
      </x:c>
      <x:c r="H72" s="31"/>
      <x:c r="I72" s="31"/>
      <x:c r="J72" s="32"/>
      <x:c r="K72" s="32"/>
      <x:c r="L72" s="31"/>
      <x:c r="M72" s="31"/>
      <x:c r="N72" s="31"/>
      <x:c r="O72" s="31"/>
      <x:c r="P72" s="31"/>
      <x:c r="Q72" s="32"/>
      <x:c r="R72" s="31"/>
      <x:c r="S72" s="3" t="str">
        <x:f>IF(D72&lt;&gt;"Sí","",IF(P72="Sí","Cerrado",IF(K72="","Sin fecha",IF(K72&lt;TODAY(),"Vencido",IF(K72&lt;=TODAY()+3,"Próximo","En curso")))))</x:f>
      </x:c>
      <x:c r="T72"/>
    </x:row>
    <x:row r="73" ht="52" customHeight="1">
      <x:c r="A73" t="n">
        <x:v>67</x:v>
      </x:c>
      <x:c r="B73" s="33" t="str">
        <x:v>Apoyo laboral y contractual</x:v>
      </x:c>
      <x:c r="C73" s="33" t="str">
        <x:v>Preparación de reclamaciones y respuestas</x:v>
      </x:c>
      <x:c r="D73" s="28"/>
      <x:c r="E73" s="33" t="str">
        <x:v>Partes, relación, condiciones y autorización</x:v>
      </x:c>
      <x:c r="F73" s="33" t="str">
        <x:v>Proyecto de reclamación o respuesta y expediente probatorio.</x:v>
      </x:c>
      <x:c r="G73" t="n">
        <x:v>6</x:v>
      </x:c>
      <x:c r="H73" s="31"/>
      <x:c r="I73" s="31"/>
      <x:c r="J73" s="32"/>
      <x:c r="K73" s="32"/>
      <x:c r="L73" s="31"/>
      <x:c r="M73" s="31"/>
      <x:c r="N73" s="31"/>
      <x:c r="O73" s="31"/>
      <x:c r="P73" s="31"/>
      <x:c r="Q73" s="32"/>
      <x:c r="R73" s="31"/>
      <x:c r="S73" s="3" t="str">
        <x:f>IF(D73&lt;&gt;"Sí","",IF(P73="Sí","Cerrado",IF(K73="","Sin fecha",IF(K73&lt;TODAY(),"Vencido",IF(K73&lt;=TODAY()+3,"Próximo","En curso")))))</x:f>
      </x:c>
      <x:c r="T73"/>
    </x:row>
    <x:row r="74" ht="52" customHeight="1">
      <x:c r="A74" t="n">
        <x:v>68</x:v>
      </x:c>
      <x:c r="B74" s="33" t="str">
        <x:v>Apoyo laboral y contractual</x:v>
      </x:c>
      <x:c r="C74" s="33" t="str">
        <x:v>Análisis documental preparatorio; dictamen jurídico reservado excluido</x:v>
      </x:c>
      <x:c r="D74" s="28"/>
      <x:c r="E74" s="33" t="str">
        <x:v>Partes, relación, condiciones y autorización</x:v>
      </x:c>
      <x:c r="F74" s="33" t="str">
        <x:v>Resumen preparatorio y relación de evidencias para revisión profesional.</x:v>
      </x:c>
      <x:c r="G74" t="n">
        <x:v>6</x:v>
      </x:c>
      <x:c r="H74" s="31"/>
      <x:c r="I74" s="31"/>
      <x:c r="J74" s="32"/>
      <x:c r="K74" s="32"/>
      <x:c r="L74" s="31"/>
      <x:c r="M74" s="31"/>
      <x:c r="N74" s="31"/>
      <x:c r="O74" s="31"/>
      <x:c r="P74" s="31"/>
      <x:c r="Q74" s="32"/>
      <x:c r="R74" s="31"/>
      <x:c r="S74" s="3" t="str">
        <x:f>IF(D74&lt;&gt;"Sí","",IF(P74="Sí","Cerrado",IF(K74="","Sin fecha",IF(K74&lt;TODAY(),"Vencido",IF(K74&lt;=TODAY()+3,"Próximo","En curso")))))</x:f>
      </x:c>
      <x:c r="T74"/>
    </x:row>
    <x:row r="75" ht="52" customHeight="1">
      <x:c r="A75" t="n">
        <x:v>69</x:v>
      </x:c>
      <x:c r="B75" s="33" t="str">
        <x:v>Control interno</x:v>
      </x:c>
      <x:c r="C75" s="33" t="str">
        <x:v>Diagnóstico de control interno</x:v>
      </x:c>
      <x:c r="D75" s="28"/>
      <x:c r="E75" s="33" t="str">
        <x:v>Procesos, responsables, controles y evidencias</x:v>
      </x:c>
      <x:c r="F75" s="33" t="str">
        <x:v>Informe diagnóstico, matriz de brechas y prioridades.</x:v>
      </x:c>
      <x:c r="G75" t="n">
        <x:v>4</x:v>
      </x:c>
      <x:c r="H75" s="31"/>
      <x:c r="I75" s="31"/>
      <x:c r="J75" s="32"/>
      <x:c r="K75" s="32"/>
      <x:c r="L75" s="31"/>
      <x:c r="M75" s="31"/>
      <x:c r="N75" s="31"/>
      <x:c r="O75" s="31"/>
      <x:c r="P75" s="31"/>
      <x:c r="Q75" s="32"/>
      <x:c r="R75" s="31"/>
      <x:c r="S75" s="3" t="str">
        <x:f>IF(D75&lt;&gt;"Sí","",IF(P75="Sí","Cerrado",IF(K75="","Sin fecha",IF(K75&lt;TODAY(),"Vencido",IF(K75&lt;=TODAY()+3,"Próximo","En curso")))))</x:f>
      </x:c>
      <x:c r="T75"/>
    </x:row>
    <x:row r="76" ht="52" customHeight="1">
      <x:c r="A76" t="n">
        <x:v>70</x:v>
      </x:c>
      <x:c r="B76" s="33" t="str">
        <x:v>Control interno</x:v>
      </x:c>
      <x:c r="C76" s="33" t="str">
        <x:v>Diseño de controles</x:v>
      </x:c>
      <x:c r="D76" s="28"/>
      <x:c r="E76" s="33" t="str">
        <x:v>Procesos, responsables, controles y evidencias</x:v>
      </x:c>
      <x:c r="F76" s="33" t="str">
        <x:v>Matriz riesgo control responsable evidencia.</x:v>
      </x:c>
      <x:c r="G76" t="n">
        <x:v>4</x:v>
      </x:c>
      <x:c r="H76" s="31"/>
      <x:c r="I76" s="31"/>
      <x:c r="J76" s="32"/>
      <x:c r="K76" s="32"/>
      <x:c r="L76" s="31"/>
      <x:c r="M76" s="31"/>
      <x:c r="N76" s="31"/>
      <x:c r="O76" s="31"/>
      <x:c r="P76" s="31"/>
      <x:c r="Q76" s="32"/>
      <x:c r="R76" s="31"/>
      <x:c r="S76" s="3" t="str">
        <x:f>IF(D76&lt;&gt;"Sí","",IF(P76="Sí","Cerrado",IF(K76="","Sin fecha",IF(K76&lt;TODAY(),"Vencido",IF(K76&lt;=TODAY()+3,"Próximo","En curso")))))</x:f>
      </x:c>
      <x:c r="T76"/>
    </x:row>
    <x:row r="77" ht="52" customHeight="1">
      <x:c r="A77" t="n">
        <x:v>71</x:v>
      </x:c>
      <x:c r="B77" s="33" t="str">
        <x:v>Control interno</x:v>
      </x:c>
      <x:c r="C77" s="33" t="str">
        <x:v>Autoevaluación periódica</x:v>
      </x:c>
      <x:c r="D77" s="28"/>
      <x:c r="E77" s="33" t="str">
        <x:v>Procesos, responsables, controles y evidencias</x:v>
      </x:c>
      <x:c r="F77" s="33" t="str">
        <x:v>Panel de autoevaluación y lista de excepciones.</x:v>
      </x:c>
      <x:c r="G77" t="n">
        <x:v>4</x:v>
      </x:c>
      <x:c r="H77" s="31"/>
      <x:c r="I77" s="31"/>
      <x:c r="J77" s="32"/>
      <x:c r="K77" s="32"/>
      <x:c r="L77" s="31"/>
      <x:c r="M77" s="31"/>
      <x:c r="N77" s="31"/>
      <x:c r="O77" s="31"/>
      <x:c r="P77" s="31"/>
      <x:c r="Q77" s="32"/>
      <x:c r="R77" s="31"/>
      <x:c r="S77" s="3" t="str">
        <x:f>IF(D77&lt;&gt;"Sí","",IF(P77="Sí","Cerrado",IF(K77="","Sin fecha",IF(K77&lt;TODAY(),"Vencido",IF(K77&lt;=TODAY()+3,"Próximo","En curso")))))</x:f>
      </x:c>
      <x:c r="T77"/>
    </x:row>
    <x:row r="78" ht="52" customHeight="1">
      <x:c r="A78" t="n">
        <x:v>72</x:v>
      </x:c>
      <x:c r="B78" s="33" t="str">
        <x:v>Control interno</x:v>
      </x:c>
      <x:c r="C78" s="33" t="str">
        <x:v>Planes de medidas</x:v>
      </x:c>
      <x:c r="D78" s="28"/>
      <x:c r="E78" s="33" t="str">
        <x:v>Procesos, responsables, controles y evidencias</x:v>
      </x:c>
      <x:c r="F78" s="33" t="str">
        <x:v>Plan de medidas y tablero de seguimiento.</x:v>
      </x:c>
      <x:c r="G78" t="n">
        <x:v>4</x:v>
      </x:c>
      <x:c r="H78" s="31"/>
      <x:c r="I78" s="31"/>
      <x:c r="J78" s="32"/>
      <x:c r="K78" s="32"/>
      <x:c r="L78" s="31"/>
      <x:c r="M78" s="31"/>
      <x:c r="N78" s="31"/>
      <x:c r="O78" s="31"/>
      <x:c r="P78" s="31"/>
      <x:c r="Q78" s="32"/>
      <x:c r="R78" s="31"/>
      <x:c r="S78" s="3" t="str">
        <x:f>IF(D78&lt;&gt;"Sí","",IF(P78="Sí","Cerrado",IF(K78="","Sin fecha",IF(K78&lt;TODAY(),"Vencido",IF(K78&lt;=TODAY()+3,"Próximo","En curso")))))</x:f>
      </x:c>
      <x:c r="T78"/>
    </x:row>
    <x:row r="79" ht="52" customHeight="1">
      <x:c r="A79" t="n">
        <x:v>73</x:v>
      </x:c>
      <x:c r="B79" s="33" t="str">
        <x:v>Control interno</x:v>
      </x:c>
      <x:c r="C79" s="33" t="str">
        <x:v>Seguimiento de medidas correctivas</x:v>
      </x:c>
      <x:c r="D79" s="28"/>
      <x:c r="E79" s="33" t="str">
        <x:v>Procesos, responsables, controles y evidencias</x:v>
      </x:c>
      <x:c r="F79" s="33" t="str">
        <x:v>Reporte de medidas vencidas, bloqueadas o cerradas.</x:v>
      </x:c>
      <x:c r="G79" t="n">
        <x:v>4</x:v>
      </x:c>
      <x:c r="H79" s="31"/>
      <x:c r="I79" s="31"/>
      <x:c r="J79" s="32"/>
      <x:c r="K79" s="32"/>
      <x:c r="L79" s="31"/>
      <x:c r="M79" s="31"/>
      <x:c r="N79" s="31"/>
      <x:c r="O79" s="31"/>
      <x:c r="P79" s="31"/>
      <x:c r="Q79" s="32"/>
      <x:c r="R79" s="31"/>
      <x:c r="S79" s="3" t="str">
        <x:f>IF(D79&lt;&gt;"Sí","",IF(P79="Sí","Cerrado",IF(K79="","Sin fecha",IF(K79&lt;TODAY(),"Vencido",IF(K79&lt;=TODAY()+3,"Próximo","En curso")))))</x:f>
      </x:c>
      <x:c r="T79"/>
    </x:row>
    <x:row r="80" ht="52" customHeight="1">
      <x:c r="A80" t="n">
        <x:v>74</x:v>
      </x:c>
      <x:c r="B80" s="33" t="str">
        <x:v>Control interno</x:v>
      </x:c>
      <x:c r="C80" s="33" t="str">
        <x:v>Pruebas de cumplimiento</x:v>
      </x:c>
      <x:c r="D80" s="28"/>
      <x:c r="E80" s="33" t="str">
        <x:v>Procesos, responsables, controles y evidencias</x:v>
      </x:c>
      <x:c r="F80" s="33" t="str">
        <x:v>Papeles de trabajo y resumen de hallazgos.</x:v>
      </x:c>
      <x:c r="G80" t="n">
        <x:v>4</x:v>
      </x:c>
      <x:c r="H80" s="31"/>
      <x:c r="I80" s="31"/>
      <x:c r="J80" s="32"/>
      <x:c r="K80" s="32"/>
      <x:c r="L80" s="31"/>
      <x:c r="M80" s="31"/>
      <x:c r="N80" s="31"/>
      <x:c r="O80" s="31"/>
      <x:c r="P80" s="31"/>
      <x:c r="Q80" s="32"/>
      <x:c r="R80" s="31"/>
      <x:c r="S80" s="3" t="str">
        <x:f>IF(D80&lt;&gt;"Sí","",IF(P80="Sí","Cerrado",IF(K80="","Sin fecha",IF(K80&lt;TODAY(),"Vencido",IF(K80&lt;=TODAY()+3,"Próximo","En curso")))))</x:f>
      </x:c>
      <x:c r="T80"/>
    </x:row>
    <x:row r="81" ht="52" customHeight="1">
      <x:c r="A81" t="n">
        <x:v>75</x:v>
      </x:c>
      <x:c r="B81" s="33" t="str">
        <x:v>Riesgos empresariales</x:v>
      </x:c>
      <x:c r="C81" s="33" t="str">
        <x:v>Mapa de riesgos empresariales</x:v>
      </x:c>
      <x:c r="D81" s="28"/>
      <x:c r="E81" s="33" t="str">
        <x:v>Procesos, amenazas, vulnerabilidades y controles</x:v>
      </x:c>
      <x:c r="F81" s="33" t="str">
        <x:v>Registro priorizado y mapa de calor.</x:v>
      </x:c>
      <x:c r="G81" t="n">
        <x:v>12</x:v>
      </x:c>
      <x:c r="H81" s="31"/>
      <x:c r="I81" s="31"/>
      <x:c r="J81" s="32"/>
      <x:c r="K81" s="32"/>
      <x:c r="L81" s="31"/>
      <x:c r="M81" s="31"/>
      <x:c r="N81" s="31"/>
      <x:c r="O81" s="31"/>
      <x:c r="P81" s="31"/>
      <x:c r="Q81" s="32"/>
      <x:c r="R81" s="31"/>
      <x:c r="S81" s="3" t="str">
        <x:f>IF(D81&lt;&gt;"Sí","",IF(P81="Sí","Cerrado",IF(K81="","Sin fecha",IF(K81&lt;TODAY(),"Vencido",IF(K81&lt;=TODAY()+3,"Próximo","En curso")))))</x:f>
      </x:c>
      <x:c r="T81"/>
    </x:row>
    <x:row r="82" ht="52" customHeight="1">
      <x:c r="A82" t="n">
        <x:v>76</x:v>
      </x:c>
      <x:c r="B82" s="33" t="str">
        <x:v>Riesgos empresariales</x:v>
      </x:c>
      <x:c r="C82" s="33" t="str">
        <x:v>Seguimiento de riesgos</x:v>
      </x:c>
      <x:c r="D82" s="28"/>
      <x:c r="E82" s="33" t="str">
        <x:v>Procesos, amenazas, vulnerabilidades y controles</x:v>
      </x:c>
      <x:c r="F82" s="33" t="str">
        <x:v>Informe periódico de riesgos y decisiones requeridas.</x:v>
      </x:c>
      <x:c r="G82" t="n">
        <x:v>12</x:v>
      </x:c>
      <x:c r="H82" s="31"/>
      <x:c r="I82" s="31"/>
      <x:c r="J82" s="32"/>
      <x:c r="K82" s="32"/>
      <x:c r="L82" s="31"/>
      <x:c r="M82" s="31"/>
      <x:c r="N82" s="31"/>
      <x:c r="O82" s="31"/>
      <x:c r="P82" s="31"/>
      <x:c r="Q82" s="32"/>
      <x:c r="R82" s="31"/>
      <x:c r="S82" s="3" t="str">
        <x:f>IF(D82&lt;&gt;"Sí","",IF(P82="Sí","Cerrado",IF(K82="","Sin fecha",IF(K82&lt;TODAY(),"Vencido",IF(K82&lt;=TODAY()+3,"Próximo","En curso")))))</x:f>
      </x:c>
      <x:c r="T82"/>
    </x:row>
    <x:row r="83" ht="52" customHeight="1">
      <x:c r="A83" t="n">
        <x:v>77</x:v>
      </x:c>
      <x:c r="B83" s="33" t="str">
        <x:v>Riesgos empresariales</x:v>
      </x:c>
      <x:c r="C83" s="33" t="str">
        <x:v>Análisis de incidentes</x:v>
      </x:c>
      <x:c r="D83" s="28"/>
      <x:c r="E83" s="33" t="str">
        <x:v>Procesos, amenazas, vulnerabilidades y controles</x:v>
      </x:c>
      <x:c r="F83" s="33" t="str">
        <x:v>Informe de incidente y plan de investigación.</x:v>
      </x:c>
      <x:c r="G83" t="n">
        <x:v>12</x:v>
      </x:c>
      <x:c r="H83" s="31"/>
      <x:c r="I83" s="31"/>
      <x:c r="J83" s="32"/>
      <x:c r="K83" s="32"/>
      <x:c r="L83" s="31"/>
      <x:c r="M83" s="31"/>
      <x:c r="N83" s="31"/>
      <x:c r="O83" s="31"/>
      <x:c r="P83" s="31"/>
      <x:c r="Q83" s="32"/>
      <x:c r="R83" s="31"/>
      <x:c r="S83" s="3" t="str">
        <x:f>IF(D83&lt;&gt;"Sí","",IF(P83="Sí","Cerrado",IF(K83="","Sin fecha",IF(K83&lt;TODAY(),"Vencido",IF(K83&lt;=TODAY()+3,"Próximo","En curso")))))</x:f>
      </x:c>
      <x:c r="T83"/>
    </x:row>
    <x:row r="84" ht="52" customHeight="1">
      <x:c r="A84" t="n">
        <x:v>78</x:v>
      </x:c>
      <x:c r="B84" s="33" t="str">
        <x:v>Riesgos empresariales</x:v>
      </x:c>
      <x:c r="C84" s="33" t="str">
        <x:v>Plan de continuidad</x:v>
      </x:c>
      <x:c r="D84" s="28"/>
      <x:c r="E84" s="33" t="str">
        <x:v>Procesos, amenazas, vulnerabilidades y controles</x:v>
      </x:c>
      <x:c r="F84" s="33" t="str">
        <x:v>Plan de continuidad y ejercicios de prueba.</x:v>
      </x:c>
      <x:c r="G84" t="n">
        <x:v>12</x:v>
      </x:c>
      <x:c r="H84" s="31"/>
      <x:c r="I84" s="31"/>
      <x:c r="J84" s="32"/>
      <x:c r="K84" s="32"/>
      <x:c r="L84" s="31"/>
      <x:c r="M84" s="31"/>
      <x:c r="N84" s="31"/>
      <x:c r="O84" s="31"/>
      <x:c r="P84" s="31"/>
      <x:c r="Q84" s="32"/>
      <x:c r="R84" s="31"/>
      <x:c r="S84" s="3" t="str">
        <x:f>IF(D84&lt;&gt;"Sí","",IF(P84="Sí","Cerrado",IF(K84="","Sin fecha",IF(K84&lt;TODAY(),"Vencido",IF(K84&lt;=TODAY()+3,"Próximo","En curso")))))</x:f>
      </x:c>
      <x:c r="T84"/>
    </x:row>
    <x:row r="85" ht="52" customHeight="1">
      <x:c r="A85" t="n">
        <x:v>79</x:v>
      </x:c>
      <x:c r="B85" s="33" t="str">
        <x:v>Riesgos empresariales</x:v>
      </x:c>
      <x:c r="C85" s="33" t="str">
        <x:v>Alertas tempranas</x:v>
      </x:c>
      <x:c r="D85" s="28"/>
      <x:c r="E85" s="33" t="str">
        <x:v>Procesos, amenazas, vulnerabilidades y controles</x:v>
      </x:c>
      <x:c r="F85" s="33" t="str">
        <x:v>Alertas con umbral, responsable y acción esperada.</x:v>
      </x:c>
      <x:c r="G85" t="n">
        <x:v>12</x:v>
      </x:c>
      <x:c r="H85" s="31"/>
      <x:c r="I85" s="31"/>
      <x:c r="J85" s="32"/>
      <x:c r="K85" s="32"/>
      <x:c r="L85" s="31"/>
      <x:c r="M85" s="31"/>
      <x:c r="N85" s="31"/>
      <x:c r="O85" s="31"/>
      <x:c r="P85" s="31"/>
      <x:c r="Q85" s="32"/>
      <x:c r="R85" s="31"/>
      <x:c r="S85" s="3" t="str">
        <x:f>IF(D85&lt;&gt;"Sí","",IF(P85="Sí","Cerrado",IF(K85="","Sin fecha",IF(K85&lt;TODAY(),"Vencido",IF(K85&lt;=TODAY()+3,"Próximo","En curso")))))</x:f>
      </x:c>
      <x:c r="T85"/>
    </x:row>
    <x:row r="86" ht="52" customHeight="1">
      <x:c r="A86" t="n">
        <x:v>80</x:v>
      </x:c>
      <x:c r="B86" s="33" t="str">
        <x:v>Riesgos empresariales</x:v>
      </x:c>
      <x:c r="C86" s="33" t="str">
        <x:v>Informe de riesgos para dirección</x:v>
      </x:c>
      <x:c r="D86" s="28"/>
      <x:c r="E86" s="33" t="str">
        <x:v>Procesos, amenazas, vulnerabilidades y controles</x:v>
      </x:c>
      <x:c r="F86" s="33" t="str">
        <x:v>Informe ejecutivo y presentación.</x:v>
      </x:c>
      <x:c r="G86" t="n">
        <x:v>12</x:v>
      </x:c>
      <x:c r="H86" s="31"/>
      <x:c r="I86" s="31"/>
      <x:c r="J86" s="32"/>
      <x:c r="K86" s="32"/>
      <x:c r="L86" s="31"/>
      <x:c r="M86" s="31"/>
      <x:c r="N86" s="31"/>
      <x:c r="O86" s="31"/>
      <x:c r="P86" s="31"/>
      <x:c r="Q86" s="32"/>
      <x:c r="R86" s="31"/>
      <x:c r="S86" s="3" t="str">
        <x:f>IF(D86&lt;&gt;"Sí","",IF(P86="Sí","Cerrado",IF(K86="","Sin fecha",IF(K86&lt;TODAY(),"Vencido",IF(K86&lt;=TODAY()+3,"Próximo","En curso")))))</x:f>
      </x:c>
      <x:c r="T86"/>
    </x:row>
    <x:row r="87" ht="52" customHeight="1">
      <x:c r="A87" t="n">
        <x:v>81</x:v>
      </x:c>
      <x:c r="B87" s="33" t="str">
        <x:v>Control interno</x:v>
      </x:c>
      <x:c r="C87" s="33" t="str">
        <x:v>Preinspección interna</x:v>
      </x:c>
      <x:c r="D87" s="28"/>
      <x:c r="E87" s="33" t="str">
        <x:v>Procesos, responsables, controles y evidencias</x:v>
      </x:c>
      <x:c r="F87" s="33" t="str">
        <x:v>Diagnóstico de preparación y plan de cierre de brechas.</x:v>
      </x:c>
      <x:c r="G87" t="n">
        <x:v>4</x:v>
      </x:c>
      <x:c r="H87" s="31"/>
      <x:c r="I87" s="31"/>
      <x:c r="J87" s="32"/>
      <x:c r="K87" s="32"/>
      <x:c r="L87" s="31"/>
      <x:c r="M87" s="31"/>
      <x:c r="N87" s="31"/>
      <x:c r="O87" s="31"/>
      <x:c r="P87" s="31"/>
      <x:c r="Q87" s="32"/>
      <x:c r="R87" s="31"/>
      <x:c r="S87" s="3" t="str">
        <x:f>IF(D87&lt;&gt;"Sí","",IF(P87="Sí","Cerrado",IF(K87="","Sin fecha",IF(K87&lt;TODAY(),"Vencido",IF(K87&lt;=TODAY()+3,"Próximo","En curso")))))</x:f>
      </x:c>
      <x:c r="T87"/>
    </x:row>
    <x:row r="88" ht="52" customHeight="1">
      <x:c r="A88" t="n">
        <x:v>82</x:v>
      </x:c>
      <x:c r="B88" s="33" t="str">
        <x:v>Control interno</x:v>
      </x:c>
      <x:c r="C88" s="33" t="str">
        <x:v>Expediente permanente de inspecciones</x:v>
      </x:c>
      <x:c r="D88" s="28"/>
      <x:c r="E88" s="33" t="str">
        <x:v>Procesos, responsables, controles y evidencias</x:v>
      </x:c>
      <x:c r="F88" s="33" t="str">
        <x:v>Expediente indexado y cronología.</x:v>
      </x:c>
      <x:c r="G88" t="n">
        <x:v>4</x:v>
      </x:c>
      <x:c r="H88" s="31"/>
      <x:c r="I88" s="31"/>
      <x:c r="J88" s="32"/>
      <x:c r="K88" s="32"/>
      <x:c r="L88" s="31"/>
      <x:c r="M88" s="31"/>
      <x:c r="N88" s="31"/>
      <x:c r="O88" s="31"/>
      <x:c r="P88" s="31"/>
      <x:c r="Q88" s="32"/>
      <x:c r="R88" s="31"/>
      <x:c r="S88" s="3" t="str">
        <x:f>IF(D88&lt;&gt;"Sí","",IF(P88="Sí","Cerrado",IF(K88="","Sin fecha",IF(K88&lt;TODAY(),"Vencido",IF(K88&lt;=TODAY()+3,"Próximo","En curso")))))</x:f>
      </x:c>
      <x:c r="T88"/>
    </x:row>
    <x:row r="89" ht="52" customHeight="1">
      <x:c r="A89" t="n">
        <x:v>83</x:v>
      </x:c>
      <x:c r="B89" s="33" t="str">
        <x:v>Control interno</x:v>
      </x:c>
      <x:c r="C89" s="33" t="str">
        <x:v>Guía de atención a inspectores</x:v>
      </x:c>
      <x:c r="D89" s="28"/>
      <x:c r="E89" s="33" t="str">
        <x:v>Procesos, responsables, controles y evidencias</x:v>
      </x:c>
      <x:c r="F89" s="33" t="str">
        <x:v>Protocolo, bitácora y lista de contactos.</x:v>
      </x:c>
      <x:c r="G89" t="n">
        <x:v>4</x:v>
      </x:c>
      <x:c r="H89" s="31"/>
      <x:c r="I89" s="31"/>
      <x:c r="J89" s="32"/>
      <x:c r="K89" s="32"/>
      <x:c r="L89" s="31"/>
      <x:c r="M89" s="31"/>
      <x:c r="N89" s="31"/>
      <x:c r="O89" s="31"/>
      <x:c r="P89" s="31"/>
      <x:c r="Q89" s="32"/>
      <x:c r="R89" s="31"/>
      <x:c r="S89" s="3" t="str">
        <x:f>IF(D89&lt;&gt;"Sí","",IF(P89="Sí","Cerrado",IF(K89="","Sin fecha",IF(K89&lt;TODAY(),"Vencido",IF(K89&lt;=TODAY()+3,"Próximo","En curso")))))</x:f>
      </x:c>
      <x:c r="T89"/>
    </x:row>
    <x:row r="90" ht="52" customHeight="1">
      <x:c r="A90" t="n">
        <x:v>84</x:v>
      </x:c>
      <x:c r="B90" s="33" t="str">
        <x:v>Control interno</x:v>
      </x:c>
      <x:c r="C90" s="33" t="str">
        <x:v>Control de documentos entregados</x:v>
      </x:c>
      <x:c r="D90" s="28"/>
      <x:c r="E90" s="33" t="str">
        <x:v>Procesos, responsables, controles y evidencias</x:v>
      </x:c>
      <x:c r="F90" s="33" t="str">
        <x:v>Bitácora de entrega y copia de respaldo.</x:v>
      </x:c>
      <x:c r="G90" t="n">
        <x:v>4</x:v>
      </x:c>
      <x:c r="H90" s="31"/>
      <x:c r="I90" s="31"/>
      <x:c r="J90" s="32"/>
      <x:c r="K90" s="32"/>
      <x:c r="L90" s="31"/>
      <x:c r="M90" s="31"/>
      <x:c r="N90" s="31"/>
      <x:c r="O90" s="31"/>
      <x:c r="P90" s="31"/>
      <x:c r="Q90" s="32"/>
      <x:c r="R90" s="31"/>
      <x:c r="S90" s="3" t="str">
        <x:f>IF(D90&lt;&gt;"Sí","",IF(P90="Sí","Cerrado",IF(K90="","Sin fecha",IF(K90&lt;TODAY(),"Vencido",IF(K90&lt;=TODAY()+3,"Próximo","En curso")))))</x:f>
      </x:c>
      <x:c r="T90"/>
    </x:row>
    <x:row r="91" ht="52" customHeight="1">
      <x:c r="A91" t="n">
        <x:v>85</x:v>
      </x:c>
      <x:c r="B91" s="33" t="str">
        <x:v>Control interno</x:v>
      </x:c>
      <x:c r="C91" s="33" t="str">
        <x:v>Análisis de hallazgos</x:v>
      </x:c>
      <x:c r="D91" s="28"/>
      <x:c r="E91" s="33" t="str">
        <x:v>Procesos, responsables, controles y evidencias</x:v>
      </x:c>
      <x:c r="F91" s="33" t="str">
        <x:v>Ficha de hallazgo y ruta de decisión.</x:v>
      </x:c>
      <x:c r="G91" t="n">
        <x:v>4</x:v>
      </x:c>
      <x:c r="H91" s="31"/>
      <x:c r="I91" s="31"/>
      <x:c r="J91" s="32"/>
      <x:c r="K91" s="32"/>
      <x:c r="L91" s="31"/>
      <x:c r="M91" s="31"/>
      <x:c r="N91" s="31"/>
      <x:c r="O91" s="31"/>
      <x:c r="P91" s="31"/>
      <x:c r="Q91" s="32"/>
      <x:c r="R91" s="31"/>
      <x:c r="S91" s="3" t="str">
        <x:f>IF(D91&lt;&gt;"Sí","",IF(P91="Sí","Cerrado",IF(K91="","Sin fecha",IF(K91&lt;TODAY(),"Vencido",IF(K91&lt;=TODAY()+3,"Próximo","En curso")))))</x:f>
      </x:c>
      <x:c r="T91"/>
    </x:row>
    <x:row r="92" ht="52" customHeight="1">
      <x:c r="A92" t="n">
        <x:v>86</x:v>
      </x:c>
      <x:c r="B92" s="33" t="str">
        <x:v>Control interno</x:v>
      </x:c>
      <x:c r="C92" s="33" t="str">
        <x:v>Preparación de descargos o respuestas</x:v>
      </x:c>
      <x:c r="D92" s="28"/>
      <x:c r="E92" s="33" t="str">
        <x:v>Procesos, responsables, controles y evidencias</x:v>
      </x:c>
      <x:c r="F92" s="33" t="str">
        <x:v>Borrador y expediente de anexos.</x:v>
      </x:c>
      <x:c r="G92" t="n">
        <x:v>4</x:v>
      </x:c>
      <x:c r="H92" s="31"/>
      <x:c r="I92" s="31"/>
      <x:c r="J92" s="32"/>
      <x:c r="K92" s="32"/>
      <x:c r="L92" s="31"/>
      <x:c r="M92" s="31"/>
      <x:c r="N92" s="31"/>
      <x:c r="O92" s="31"/>
      <x:c r="P92" s="31"/>
      <x:c r="Q92" s="32"/>
      <x:c r="R92" s="31"/>
      <x:c r="S92" s="3" t="str">
        <x:f>IF(D92&lt;&gt;"Sí","",IF(P92="Sí","Cerrado",IF(K92="","Sin fecha",IF(K92&lt;TODAY(),"Vencido",IF(K92&lt;=TODAY()+3,"Próximo","En curso")))))</x:f>
      </x:c>
      <x:c r="T92"/>
    </x:row>
    <x:row r="93" ht="52" customHeight="1">
      <x:c r="A93" t="n">
        <x:v>87</x:v>
      </x:c>
      <x:c r="B93" s="33" t="str">
        <x:v>Control interno</x:v>
      </x:c>
      <x:c r="C93" s="33" t="str">
        <x:v>Seguimiento posauditoría</x:v>
      </x:c>
      <x:c r="D93" s="28"/>
      <x:c r="E93" s="33" t="str">
        <x:v>Procesos, responsables, controles y evidencias</x:v>
      </x:c>
      <x:c r="F93" s="33" t="str">
        <x:v>Panel posauditoría e informe de cierre.</x:v>
      </x:c>
      <x:c r="G93" t="n">
        <x:v>4</x:v>
      </x:c>
      <x:c r="H93" s="31"/>
      <x:c r="I93" s="31"/>
      <x:c r="J93" s="32"/>
      <x:c r="K93" s="32"/>
      <x:c r="L93" s="31"/>
      <x:c r="M93" s="31"/>
      <x:c r="N93" s="31"/>
      <x:c r="O93" s="31"/>
      <x:c r="P93" s="31"/>
      <x:c r="Q93" s="32"/>
      <x:c r="R93" s="31"/>
      <x:c r="S93" s="3" t="str">
        <x:f>IF(D93&lt;&gt;"Sí","",IF(P93="Sí","Cerrado",IF(K93="","Sin fecha",IF(K93&lt;TODAY(),"Vencido",IF(K93&lt;=TODAY()+3,"Próximo","En curso")))))</x:f>
      </x:c>
      <x:c r="T93"/>
    </x:row>
    <x:row r="94" ht="52" customHeight="1">
      <x:c r="A94" t="n">
        <x:v>88</x:v>
      </x:c>
      <x:c r="B94" s="33" t="str">
        <x:v>Gestión de capital humano</x:v>
      </x:c>
      <x:c r="C94" s="33" t="str">
        <x:v>Revisión de expedientes laborales</x:v>
      </x:c>
      <x:c r="D94" s="28"/>
      <x:c r="E94" s="33" t="str">
        <x:v>Plantilla, cargos, funciones y novedades</x:v>
      </x:c>
      <x:c r="F94" s="33" t="str">
        <x:v>Índice por trabajador y lista de documentos faltantes o vencidos.</x:v>
      </x:c>
      <x:c r="G94" t="n">
        <x:v>5</x:v>
      </x:c>
      <x:c r="H94" s="31"/>
      <x:c r="I94" s="31"/>
      <x:c r="J94" s="32"/>
      <x:c r="K94" s="32"/>
      <x:c r="L94" s="31"/>
      <x:c r="M94" s="31"/>
      <x:c r="N94" s="31"/>
      <x:c r="O94" s="31"/>
      <x:c r="P94" s="31"/>
      <x:c r="Q94" s="32"/>
      <x:c r="R94" s="31"/>
      <x:c r="S94" s="3" t="str">
        <x:f>IF(D94&lt;&gt;"Sí","",IF(P94="Sí","Cerrado",IF(K94="","Sin fecha",IF(K94&lt;TODAY(),"Vencido",IF(K94&lt;=TODAY()+3,"Próximo","En curso")))))</x:f>
      </x:c>
      <x:c r="T94"/>
    </x:row>
    <x:row r="95" ht="52" customHeight="1">
      <x:c r="A95" t="n">
        <x:v>89</x:v>
      </x:c>
      <x:c r="B95" s="33" t="str">
        <x:v>Apoyo laboral y contractual</x:v>
      </x:c>
      <x:c r="C95" s="33" t="str">
        <x:v>Elaboración y actualización de contratos laborales</x:v>
      </x:c>
      <x:c r="D95" s="28"/>
      <x:c r="E95" s="33" t="str">
        <x:v>Partes, relación, condiciones y autorización</x:v>
      </x:c>
      <x:c r="F95" s="33" t="str">
        <x:v>Borrador, anexos y control de aprobación.</x:v>
      </x:c>
      <x:c r="G95" t="n">
        <x:v>6</x:v>
      </x:c>
      <x:c r="H95" s="31"/>
      <x:c r="I95" s="31"/>
      <x:c r="J95" s="32"/>
      <x:c r="K95" s="32"/>
      <x:c r="L95" s="31"/>
      <x:c r="M95" s="31"/>
      <x:c r="N95" s="31"/>
      <x:c r="O95" s="31"/>
      <x:c r="P95" s="31"/>
      <x:c r="Q95" s="32"/>
      <x:c r="R95" s="31"/>
      <x:c r="S95" s="3" t="str">
        <x:f>IF(D95&lt;&gt;"Sí","",IF(P95="Sí","Cerrado",IF(K95="","Sin fecha",IF(K95&lt;TODAY(),"Vencido",IF(K95&lt;=TODAY()+3,"Próximo","En curso")))))</x:f>
      </x:c>
      <x:c r="T95"/>
    </x:row>
    <x:row r="96" ht="52" customHeight="1">
      <x:c r="A96" t="n">
        <x:v>90</x:v>
      </x:c>
      <x:c r="B96" s="33" t="str">
        <x:v>Gestión de capital humano</x:v>
      </x:c>
      <x:c r="C96" s="33" t="str">
        <x:v>Control de altas bajas y movimientos</x:v>
      </x:c>
      <x:c r="D96" s="28"/>
      <x:c r="E96" s="33" t="str">
        <x:v>Plantilla, cargos, funciones y novedades</x:v>
      </x:c>
      <x:c r="F96" s="33" t="str">
        <x:v>Lista de tareas y expediente de movimiento.</x:v>
      </x:c>
      <x:c r="G96" t="n">
        <x:v>5</x:v>
      </x:c>
      <x:c r="H96" s="31"/>
      <x:c r="I96" s="31"/>
      <x:c r="J96" s="32"/>
      <x:c r="K96" s="32"/>
      <x:c r="L96" s="31"/>
      <x:c r="M96" s="31"/>
      <x:c r="N96" s="31"/>
      <x:c r="O96" s="31"/>
      <x:c r="P96" s="31"/>
      <x:c r="Q96" s="32"/>
      <x:c r="R96" s="31"/>
      <x:c r="S96" s="3" t="str">
        <x:f>IF(D96&lt;&gt;"Sí","",IF(P96="Sí","Cerrado",IF(K96="","Sin fecha",IF(K96&lt;TODAY(),"Vencido",IF(K96&lt;=TODAY()+3,"Próximo","En curso")))))</x:f>
      </x:c>
      <x:c r="T96"/>
    </x:row>
    <x:row r="97" ht="52" customHeight="1">
      <x:c r="A97" t="n">
        <x:v>91</x:v>
      </x:c>
      <x:c r="B97" s="33" t="str">
        <x:v>Gestión de capital humano</x:v>
      </x:c>
      <x:c r="C97" s="33" t="str">
        <x:v>Control de asistencia vacaciones y licencias</x:v>
      </x:c>
      <x:c r="D97" s="28"/>
      <x:c r="E97" s="33" t="str">
        <x:v>Plantilla, cargos, funciones y novedades</x:v>
      </x:c>
      <x:c r="F97" s="33" t="str">
        <x:v>Resumen por persona y área, excepciones y próximos vencimientos.</x:v>
      </x:c>
      <x:c r="G97" t="n">
        <x:v>5</x:v>
      </x:c>
      <x:c r="H97" s="31"/>
      <x:c r="I97" s="31"/>
      <x:c r="J97" s="32"/>
      <x:c r="K97" s="32"/>
      <x:c r="L97" s="31"/>
      <x:c r="M97" s="31"/>
      <x:c r="N97" s="31"/>
      <x:c r="O97" s="31"/>
      <x:c r="P97" s="31"/>
      <x:c r="Q97" s="32"/>
      <x:c r="R97" s="31"/>
      <x:c r="S97" s="3" t="str">
        <x:f>IF(D97&lt;&gt;"Sí","",IF(P97="Sí","Cerrado",IF(K97="","Sin fecha",IF(K97&lt;TODAY(),"Vencido",IF(K97&lt;=TODAY()+3,"Próximo","En curso")))))</x:f>
      </x:c>
      <x:c r="T97"/>
    </x:row>
    <x:row r="98" ht="52" customHeight="1">
      <x:c r="A98" t="n">
        <x:v>92</x:v>
      </x:c>
      <x:c r="B98" s="33" t="str">
        <x:v>Contabilidad auxiliar y cierres</x:v>
      </x:c>
      <x:c r="C98" s="33" t="str">
        <x:v>Revisión asistida de nómina</x:v>
      </x:c>
      <x:c r="D98" s="28"/>
      <x:c r="E98" s="33" t="str">
        <x:v>Mayor, auxiliares, bancos, soportes y período</x:v>
      </x:c>
      <x:c r="F98" s="33" t="str">
        <x:v>Reporte de excepciones antes del pago.</x:v>
      </x:c>
      <x:c r="G98" t="n">
        <x:v>9</x:v>
      </x:c>
      <x:c r="H98" s="31"/>
      <x:c r="I98" s="31"/>
      <x:c r="J98" s="32"/>
      <x:c r="K98" s="32"/>
      <x:c r="L98" s="31"/>
      <x:c r="M98" s="31"/>
      <x:c r="N98" s="31"/>
      <x:c r="O98" s="31"/>
      <x:c r="P98" s="31"/>
      <x:c r="Q98" s="32"/>
      <x:c r="R98" s="31"/>
      <x:c r="S98" s="3" t="str">
        <x:f>IF(D98&lt;&gt;"Sí","",IF(P98="Sí","Cerrado",IF(K98="","Sin fecha",IF(K98&lt;TODAY(),"Vencido",IF(K98&lt;=TODAY()+3,"Próximo","En curso")))))</x:f>
      </x:c>
      <x:c r="T98"/>
    </x:row>
    <x:row r="99" ht="52" customHeight="1">
      <x:c r="A99" t="n">
        <x:v>93</x:v>
      </x:c>
      <x:c r="B99" s="33" t="str">
        <x:v>Tributos y seguridad social</x:v>
      </x:c>
      <x:c r="C99" s="33" t="str">
        <x:v>Control de seguridad social</x:v>
      </x:c>
      <x:c r="D99" s="28"/>
      <x:c r="E99" s="33" t="str">
        <x:v>NIT, actor, actividad, período y obligaciones</x:v>
      </x:c>
      <x:c r="F99" s="33" t="str">
        <x:v>Conciliación y calendario de obligaciones.</x:v>
      </x:c>
      <x:c r="G99" t="n">
        <x:v>10</x:v>
      </x:c>
      <x:c r="H99" s="31"/>
      <x:c r="I99" s="31"/>
      <x:c r="J99" s="32"/>
      <x:c r="K99" s="32"/>
      <x:c r="L99" s="31"/>
      <x:c r="M99" s="31"/>
      <x:c r="N99" s="31"/>
      <x:c r="O99" s="31"/>
      <x:c r="P99" s="31"/>
      <x:c r="Q99" s="32"/>
      <x:c r="R99" s="31"/>
      <x:c r="S99" s="3" t="str">
        <x:f>IF(D99&lt;&gt;"Sí","",IF(P99="Sí","Cerrado",IF(K99="","Sin fecha",IF(K99&lt;TODAY(),"Vencido",IF(K99&lt;=TODAY()+3,"Próximo","En curso")))))</x:f>
      </x:c>
      <x:c r="T99"/>
    </x:row>
    <x:row r="100" ht="52" customHeight="1">
      <x:c r="A100" t="n">
        <x:v>94</x:v>
      </x:c>
      <x:c r="B100" s="33" t="str">
        <x:v>Entrenamiento y desempeño</x:v>
      </x:c>
      <x:c r="C100" s="33" t="str">
        <x:v>Capacitación y competencias</x:v>
      </x:c>
      <x:c r="D100" s="28"/>
      <x:c r="E100" s="33" t="str">
        <x:v>Competencias, brechas, objetivos y público</x:v>
      </x:c>
      <x:c r="F100" s="33" t="str">
        <x:v>Matriz de competencias y programa de capacitación.</x:v>
      </x:c>
      <x:c r="G100" t="n">
        <x:v>5</x:v>
      </x:c>
      <x:c r="H100" s="31"/>
      <x:c r="I100" s="31"/>
      <x:c r="J100" s="32"/>
      <x:c r="K100" s="32"/>
      <x:c r="L100" s="31"/>
      <x:c r="M100" s="31"/>
      <x:c r="N100" s="31"/>
      <x:c r="O100" s="31"/>
      <x:c r="P100" s="31"/>
      <x:c r="Q100" s="32"/>
      <x:c r="R100" s="31"/>
      <x:c r="S100" s="3" t="str">
        <x:f>IF(D100&lt;&gt;"Sí","",IF(P100="Sí","Cerrado",IF(K100="","Sin fecha",IF(K100&lt;TODAY(),"Vencido",IF(K100&lt;=TODAY()+3,"Próximo","En curso")))))</x:f>
      </x:c>
      <x:c r="T100"/>
    </x:row>
    <x:row r="101" ht="52" customHeight="1">
      <x:c r="A101" t="n">
        <x:v>95</x:v>
      </x:c>
      <x:c r="B101" s="33" t="str">
        <x:v>Entrenamiento y desempeño</x:v>
      </x:c>
      <x:c r="C101" s="33" t="str">
        <x:v>Evaluación del desempeño</x:v>
      </x:c>
      <x:c r="D101" s="28"/>
      <x:c r="E101" s="33" t="str">
        <x:v>Competencias, brechas, objetivos y público</x:v>
      </x:c>
      <x:c r="F101" s="33" t="str">
        <x:v>Evaluación estructurada y plan individual.</x:v>
      </x:c>
      <x:c r="G101" t="n">
        <x:v>5</x:v>
      </x:c>
      <x:c r="H101" s="31"/>
      <x:c r="I101" s="31"/>
      <x:c r="J101" s="32"/>
      <x:c r="K101" s="32"/>
      <x:c r="L101" s="31"/>
      <x:c r="M101" s="31"/>
      <x:c r="N101" s="31"/>
      <x:c r="O101" s="31"/>
      <x:c r="P101" s="31"/>
      <x:c r="Q101" s="32"/>
      <x:c r="R101" s="31"/>
      <x:c r="S101" s="3" t="str">
        <x:f>IF(D101&lt;&gt;"Sí","",IF(P101="Sí","Cerrado",IF(K101="","Sin fecha",IF(K101&lt;TODAY(),"Vencido",IF(K101&lt;=TODAY()+3,"Próximo","En curso")))))</x:f>
      </x:c>
      <x:c r="T101"/>
    </x:row>
    <x:row r="102" ht="52" customHeight="1">
      <x:c r="A102" t="n">
        <x:v>96</x:v>
      </x:c>
      <x:c r="B102" s="33" t="str">
        <x:v>Seguridad y salud en el trabajo</x:v>
      </x:c>
      <x:c r="C102" s="33" t="str">
        <x:v>Seguridad y salud en el trabajo</x:v>
      </x:c>
      <x:c r="D102" s="28"/>
      <x:c r="E102" s="33" t="str">
        <x:v>Puestos, peligros, incidentes y medidas</x:v>
      </x:c>
      <x:c r="F102" s="33" t="str">
        <x:v>Expediente de SST, alertas y plan preventivo.</x:v>
      </x:c>
      <x:c r="G102" t="n">
        <x:v>7</x:v>
      </x:c>
      <x:c r="H102" s="31"/>
      <x:c r="I102" s="31"/>
      <x:c r="J102" s="32"/>
      <x:c r="K102" s="32"/>
      <x:c r="L102" s="31"/>
      <x:c r="M102" s="31"/>
      <x:c r="N102" s="31"/>
      <x:c r="O102" s="31"/>
      <x:c r="P102" s="31"/>
      <x:c r="Q102" s="32"/>
      <x:c r="R102" s="31"/>
      <x:c r="S102" s="3" t="str">
        <x:f>IF(D102&lt;&gt;"Sí","",IF(P102="Sí","Cerrado",IF(K102="","Sin fecha",IF(K102&lt;TODAY(),"Vencido",IF(K102&lt;=TODAY()+3,"Próximo","En curso")))))</x:f>
      </x:c>
      <x:c r="T102"/>
    </x:row>
    <x:row r="103" ht="52" customHeight="1">
      <x:c r="A103" t="n">
        <x:v>97</x:v>
      </x:c>
      <x:c r="B103" s="33" t="str">
        <x:v>Gestión de capital humano</x:v>
      </x:c>
      <x:c r="C103" s="33" t="str">
        <x:v>Indicadores de recursos humanos</x:v>
      </x:c>
      <x:c r="D103" s="28"/>
      <x:c r="E103" s="33" t="str">
        <x:v>Plantilla, cargos, funciones y novedades</x:v>
      </x:c>
      <x:c r="F103" s="33" t="str">
        <x:v>Panel mensual y explicación de variaciones.</x:v>
      </x:c>
      <x:c r="G103" t="n">
        <x:v>5</x:v>
      </x:c>
      <x:c r="H103" s="31"/>
      <x:c r="I103" s="31"/>
      <x:c r="J103" s="32"/>
      <x:c r="K103" s="32"/>
      <x:c r="L103" s="31"/>
      <x:c r="M103" s="31"/>
      <x:c r="N103" s="31"/>
      <x:c r="O103" s="31"/>
      <x:c r="P103" s="31"/>
      <x:c r="Q103" s="32"/>
      <x:c r="R103" s="31"/>
      <x:c r="S103" s="3" t="str">
        <x:f>IF(D103&lt;&gt;"Sí","",IF(P103="Sí","Cerrado",IF(K103="","Sin fecha",IF(K103&lt;TODAY(),"Vencido",IF(K103&lt;=TODAY()+3,"Próximo","En curso")))))</x:f>
      </x:c>
      <x:c r="T103"/>
    </x:row>
    <x:row r="104" ht="52" customHeight="1">
      <x:c r="A104" t="n">
        <x:v>98</x:v>
      </x:c>
      <x:c r="B104" s="33" t="str">
        <x:v>Indicadores y estadísticas</x:v>
      </x:c>
      <x:c r="C104" s="33" t="str">
        <x:v>Diseño de indicadores</x:v>
      </x:c>
      <x:c r="D104" s="28"/>
      <x:c r="E104" s="33" t="str">
        <x:v>Datos, unidad, frecuencia, meta y responsables</x:v>
      </x:c>
      <x:c r="F104" s="33" t="str">
        <x:v>Ficha técnica de cada indicador.</x:v>
      </x:c>
      <x:c r="G104" t="n">
        <x:v>13</x:v>
      </x:c>
      <x:c r="H104" s="31"/>
      <x:c r="I104" s="31"/>
      <x:c r="J104" s="32"/>
      <x:c r="K104" s="32"/>
      <x:c r="L104" s="31"/>
      <x:c r="M104" s="31"/>
      <x:c r="N104" s="31"/>
      <x:c r="O104" s="31"/>
      <x:c r="P104" s="31"/>
      <x:c r="Q104" s="32"/>
      <x:c r="R104" s="31"/>
      <x:c r="S104" s="3" t="str">
        <x:f>IF(D104&lt;&gt;"Sí","",IF(P104="Sí","Cerrado",IF(K104="","Sin fecha",IF(K104&lt;TODAY(),"Vencido",IF(K104&lt;=TODAY()+3,"Próximo","En curso")))))</x:f>
      </x:c>
      <x:c r="T104"/>
    </x:row>
    <x:row r="105" ht="52" customHeight="1">
      <x:c r="A105" t="n">
        <x:v>99</x:v>
      </x:c>
      <x:c r="B105" s="33" t="str">
        <x:v>Indicadores y estadísticas</x:v>
      </x:c>
      <x:c r="C105" s="33" t="str">
        <x:v>Captura y consolidación estadística</x:v>
      </x:c>
      <x:c r="D105" s="28"/>
      <x:c r="E105" s="33" t="str">
        <x:v>Datos, unidad, frecuencia, meta y responsables</x:v>
      </x:c>
      <x:c r="F105" s="33" t="str">
        <x:v>Base consolidada y reporte de calidad.</x:v>
      </x:c>
      <x:c r="G105" t="n">
        <x:v>13</x:v>
      </x:c>
      <x:c r="H105" s="31"/>
      <x:c r="I105" s="31"/>
      <x:c r="J105" s="32"/>
      <x:c r="K105" s="32"/>
      <x:c r="L105" s="31"/>
      <x:c r="M105" s="31"/>
      <x:c r="N105" s="31"/>
      <x:c r="O105" s="31"/>
      <x:c r="P105" s="31"/>
      <x:c r="Q105" s="32"/>
      <x:c r="R105" s="31"/>
      <x:c r="S105" s="3" t="str">
        <x:f>IF(D105&lt;&gt;"Sí","",IF(P105="Sí","Cerrado",IF(K105="","Sin fecha",IF(K105&lt;TODAY(),"Vencido",IF(K105&lt;=TODAY()+3,"Próximo","En curso")))))</x:f>
      </x:c>
      <x:c r="T105"/>
    </x:row>
    <x:row r="106" ht="52" customHeight="1">
      <x:c r="A106" t="n">
        <x:v>100</x:v>
      </x:c>
      <x:c r="B106" s="33" t="str">
        <x:v>Indicadores y estadísticas</x:v>
      </x:c>
      <x:c r="C106" s="33" t="str">
        <x:v>Tableros de gestión</x:v>
      </x:c>
      <x:c r="D106" s="28"/>
      <x:c r="E106" s="33" t="str">
        <x:v>Datos, unidad, frecuencia, meta y responsables</x:v>
      </x:c>
      <x:c r="F106" s="33" t="str">
        <x:v>Panel con tendencia, meta, semáforo y explicación.</x:v>
      </x:c>
      <x:c r="G106" t="n">
        <x:v>13</x:v>
      </x:c>
      <x:c r="H106" s="31"/>
      <x:c r="I106" s="31"/>
      <x:c r="J106" s="32"/>
      <x:c r="K106" s="32"/>
      <x:c r="L106" s="31"/>
      <x:c r="M106" s="31"/>
      <x:c r="N106" s="31"/>
      <x:c r="O106" s="31"/>
      <x:c r="P106" s="31"/>
      <x:c r="Q106" s="32"/>
      <x:c r="R106" s="31"/>
      <x:c r="S106" s="3" t="str">
        <x:f>IF(D106&lt;&gt;"Sí","",IF(P106="Sí","Cerrado",IF(K106="","Sin fecha",IF(K106&lt;TODAY(),"Vencido",IF(K106&lt;=TODAY()+3,"Próximo","En curso")))))</x:f>
      </x:c>
      <x:c r="T106"/>
    </x:row>
    <x:row r="107" ht="52" customHeight="1">
      <x:c r="A107" t="n">
        <x:v>101</x:v>
      </x:c>
      <x:c r="B107" s="33" t="str">
        <x:v>Indicadores y estadísticas</x:v>
      </x:c>
      <x:c r="C107" s="33" t="str">
        <x:v>Análisis de tendencias</x:v>
      </x:c>
      <x:c r="D107" s="28"/>
      <x:c r="E107" s="33" t="str">
        <x:v>Datos, unidad, frecuencia, meta y responsables</x:v>
      </x:c>
      <x:c r="F107" s="33" t="str">
        <x:v>Informe estadístico y gráficos.</x:v>
      </x:c>
      <x:c r="G107" t="n">
        <x:v>13</x:v>
      </x:c>
      <x:c r="H107" s="31"/>
      <x:c r="I107" s="31"/>
      <x:c r="J107" s="32"/>
      <x:c r="K107" s="32"/>
      <x:c r="L107" s="31"/>
      <x:c r="M107" s="31"/>
      <x:c r="N107" s="31"/>
      <x:c r="O107" s="31"/>
      <x:c r="P107" s="31"/>
      <x:c r="Q107" s="32"/>
      <x:c r="R107" s="31"/>
      <x:c r="S107" s="3" t="str">
        <x:f>IF(D107&lt;&gt;"Sí","",IF(P107="Sí","Cerrado",IF(K107="","Sin fecha",IF(K107&lt;TODAY(),"Vencido",IF(K107&lt;=TODAY()+3,"Próximo","En curso")))))</x:f>
      </x:c>
      <x:c r="T107"/>
    </x:row>
    <x:row r="108" ht="52" customHeight="1">
      <x:c r="A108" t="n">
        <x:v>102</x:v>
      </x:c>
      <x:c r="B108" s="33" t="str">
        <x:v>Indicadores y estadísticas</x:v>
      </x:c>
      <x:c r="C108" s="33" t="str">
        <x:v>Preparación de reportes estadísticos</x:v>
      </x:c>
      <x:c r="D108" s="28"/>
      <x:c r="E108" s="33" t="str">
        <x:v>Datos, unidad, frecuencia, meta y responsables</x:v>
      </x:c>
      <x:c r="F108" s="33" t="str">
        <x:v>Paquete estadístico listo para revisión y presentación autorizada.</x:v>
      </x:c>
      <x:c r="G108" t="n">
        <x:v>13</x:v>
      </x:c>
      <x:c r="H108" s="31"/>
      <x:c r="I108" s="31"/>
      <x:c r="J108" s="32"/>
      <x:c r="K108" s="32"/>
      <x:c r="L108" s="31"/>
      <x:c r="M108" s="31"/>
      <x:c r="N108" s="31"/>
      <x:c r="O108" s="31"/>
      <x:c r="P108" s="31"/>
      <x:c r="Q108" s="32"/>
      <x:c r="R108" s="31"/>
      <x:c r="S108" s="3" t="str">
        <x:f>IF(D108&lt;&gt;"Sí","",IF(P108="Sí","Cerrado",IF(K108="","Sin fecha",IF(K108&lt;TODAY(),"Vencido",IF(K108&lt;=TODAY()+3,"Próximo","En curso")))))</x:f>
      </x:c>
      <x:c r="T108"/>
    </x:row>
    <x:row r="109" ht="52" customHeight="1">
      <x:c r="A109" t="n">
        <x:v>103</x:v>
      </x:c>
      <x:c r="B109" s="33" t="str">
        <x:v>Indicadores y estadísticas</x:v>
      </x:c>
      <x:c r="C109" s="33" t="str">
        <x:v>Control de calidad de datos</x:v>
      </x:c>
      <x:c r="D109" s="28"/>
      <x:c r="E109" s="33" t="str">
        <x:v>Datos, unidad, frecuencia, meta y responsables</x:v>
      </x:c>
      <x:c r="F109" s="33" t="str">
        <x:v>Informe de errores y base depurada para aprobación.</x:v>
      </x:c>
      <x:c r="G109" t="n">
        <x:v>13</x:v>
      </x:c>
      <x:c r="H109" s="31"/>
      <x:c r="I109" s="31"/>
      <x:c r="J109" s="32"/>
      <x:c r="K109" s="32"/>
      <x:c r="L109" s="31"/>
      <x:c r="M109" s="31"/>
      <x:c r="N109" s="31"/>
      <x:c r="O109" s="31"/>
      <x:c r="P109" s="31"/>
      <x:c r="Q109" s="32"/>
      <x:c r="R109" s="31"/>
      <x:c r="S109" s="3" t="str">
        <x:f>IF(D109&lt;&gt;"Sí","",IF(P109="Sí","Cerrado",IF(K109="","Sin fecha",IF(K109&lt;TODAY(),"Vencido",IF(K109&lt;=TODAY()+3,"Próximo","En curso")))))</x:f>
      </x:c>
      <x:c r="T109"/>
    </x:row>
    <x:row r="110" ht="52" customHeight="1">
      <x:c r="A110" t="n">
        <x:v>104</x:v>
      </x:c>
      <x:c r="B110" s="33" t="str">
        <x:v>Factibilidad y proyectos</x:v>
      </x:c>
      <x:c r="C110" s="33" t="str">
        <x:v>Diagnóstico y formulación de proyectos</x:v>
      </x:c>
      <x:c r="D110" s="28"/>
      <x:c r="E110" s="33" t="str">
        <x:v>Idea, mercado, recursos, inversión y escenarios</x:v>
      </x:c>
      <x:c r="F110" s="33" t="str">
        <x:v>Ficha de proyecto y expediente para revisión.</x:v>
      </x:c>
      <x:c r="G110" t="n">
        <x:v>8</x:v>
      </x:c>
      <x:c r="H110" s="31"/>
      <x:c r="I110" s="31"/>
      <x:c r="J110" s="32"/>
      <x:c r="K110" s="32"/>
      <x:c r="L110" s="31"/>
      <x:c r="M110" s="31"/>
      <x:c r="N110" s="31"/>
      <x:c r="O110" s="31"/>
      <x:c r="P110" s="31"/>
      <x:c r="Q110" s="32"/>
      <x:c r="R110" s="31"/>
      <x:c r="S110" s="3" t="str">
        <x:f>IF(D110&lt;&gt;"Sí","",IF(P110="Sí","Cerrado",IF(K110="","Sin fecha",IF(K110&lt;TODAY(),"Vencido",IF(K110&lt;=TODAY()+3,"Próximo","En curso")))))</x:f>
      </x:c>
      <x:c r="T110"/>
    </x:row>
    <x:row r="111" ht="52" customHeight="1">
      <x:c r="A111" t="n">
        <x:v>105</x:v>
      </x:c>
      <x:c r="B111" s="33" t="str">
        <x:v>Proyectos y seguimiento físico-financiero</x:v>
      </x:c>
      <x:c r="C111" s="33" t="str">
        <x:v>Control físico financiero</x:v>
      </x:c>
      <x:c r="D111" s="28"/>
      <x:c r="E111" s="33" t="str">
        <x:v>Hitos, fechas, avances, presupuesto y ejecución</x:v>
      </x:c>
      <x:c r="F111" s="33" t="str">
        <x:v>Tablero físico financiero y lista de desviaciones.</x:v>
      </x:c>
      <x:c r="G111" t="n">
        <x:v>13</x:v>
      </x:c>
      <x:c r="H111" s="31"/>
      <x:c r="I111" s="31"/>
      <x:c r="J111" s="32"/>
      <x:c r="K111" s="32"/>
      <x:c r="L111" s="31"/>
      <x:c r="M111" s="31"/>
      <x:c r="N111" s="31"/>
      <x:c r="O111" s="31"/>
      <x:c r="P111" s="31"/>
      <x:c r="Q111" s="32"/>
      <x:c r="R111" s="31"/>
      <x:c r="S111" s="3" t="str">
        <x:f>IF(D111&lt;&gt;"Sí","",IF(P111="Sí","Cerrado",IF(K111="","Sin fecha",IF(K111&lt;TODAY(),"Vencido",IF(K111&lt;=TODAY()+3,"Próximo","En curso")))))</x:f>
      </x:c>
      <x:c r="T111"/>
    </x:row>
    <x:row r="112" ht="52" customHeight="1">
      <x:c r="A112" t="n">
        <x:v>106</x:v>
      </x:c>
      <x:c r="B112" s="33" t="str">
        <x:v>Proyectos y seguimiento físico-financiero</x:v>
      </x:c>
      <x:c r="C112" s="33" t="str">
        <x:v>Seguimiento de hitos</x:v>
      </x:c>
      <x:c r="D112" s="28"/>
      <x:c r="E112" s="33" t="str">
        <x:v>Hitos, fechas, avances, presupuesto y ejecución</x:v>
      </x:c>
      <x:c r="F112" s="33" t="str">
        <x:v>Cronograma actualizado y alertas de retraso.</x:v>
      </x:c>
      <x:c r="G112" t="n">
        <x:v>13</x:v>
      </x:c>
      <x:c r="H112" s="31"/>
      <x:c r="I112" s="31"/>
      <x:c r="J112" s="32"/>
      <x:c r="K112" s="32"/>
      <x:c r="L112" s="31"/>
      <x:c r="M112" s="31"/>
      <x:c r="N112" s="31"/>
      <x:c r="O112" s="31"/>
      <x:c r="P112" s="31"/>
      <x:c r="Q112" s="32"/>
      <x:c r="R112" s="31"/>
      <x:c r="S112" s="3" t="str">
        <x:f>IF(D112&lt;&gt;"Sí","",IF(P112="Sí","Cerrado",IF(K112="","Sin fecha",IF(K112&lt;TODAY(),"Vencido",IF(K112&lt;=TODAY()+3,"Próximo","En curso")))))</x:f>
      </x:c>
      <x:c r="T112"/>
    </x:row>
    <x:row r="113" ht="52" customHeight="1">
      <x:c r="A113" t="n">
        <x:v>107</x:v>
      </x:c>
      <x:c r="B113" s="33" t="str">
        <x:v>Proyectos y seguimiento físico-financiero</x:v>
      </x:c>
      <x:c r="C113" s="33" t="str">
        <x:v>Control de presupuesto del proyecto</x:v>
      </x:c>
      <x:c r="D113" s="28"/>
      <x:c r="E113" s="33" t="str">
        <x:v>Hitos, fechas, avances, presupuesto y ejecución</x:v>
      </x:c>
      <x:c r="F113" s="33" t="str">
        <x:v>Informe presupuestario y alertas de desviación.</x:v>
      </x:c>
      <x:c r="G113" t="n">
        <x:v>13</x:v>
      </x:c>
      <x:c r="H113" s="31"/>
      <x:c r="I113" s="31"/>
      <x:c r="J113" s="32"/>
      <x:c r="K113" s="32"/>
      <x:c r="L113" s="31"/>
      <x:c r="M113" s="31"/>
      <x:c r="N113" s="31"/>
      <x:c r="O113" s="31"/>
      <x:c r="P113" s="31"/>
      <x:c r="Q113" s="32"/>
      <x:c r="R113" s="31"/>
      <x:c r="S113" s="3" t="str">
        <x:f>IF(D113&lt;&gt;"Sí","",IF(P113="Sí","Cerrado",IF(K113="","Sin fecha",IF(K113&lt;TODAY(),"Vencido",IF(K113&lt;=TODAY()+3,"Próximo","En curso")))))</x:f>
      </x:c>
      <x:c r="T113"/>
    </x:row>
    <x:row r="114" ht="52" customHeight="1">
      <x:c r="A114" t="n">
        <x:v>108</x:v>
      </x:c>
      <x:c r="B114" s="33" t="str">
        <x:v>Proyectos y seguimiento físico-financiero</x:v>
      </x:c>
      <x:c r="C114" s="33" t="str">
        <x:v>Informes de avance</x:v>
      </x:c>
      <x:c r="D114" s="28"/>
      <x:c r="E114" s="33" t="str">
        <x:v>Hitos, fechas, avances, presupuesto y ejecución</x:v>
      </x:c>
      <x:c r="F114" s="33" t="str">
        <x:v>Informe técnico financiero y presentación.</x:v>
      </x:c>
      <x:c r="G114" t="n">
        <x:v>13</x:v>
      </x:c>
      <x:c r="H114" s="31"/>
      <x:c r="I114" s="31"/>
      <x:c r="J114" s="32"/>
      <x:c r="K114" s="32"/>
      <x:c r="L114" s="31"/>
      <x:c r="M114" s="31"/>
      <x:c r="N114" s="31"/>
      <x:c r="O114" s="31"/>
      <x:c r="P114" s="31"/>
      <x:c r="Q114" s="32"/>
      <x:c r="R114" s="31"/>
      <x:c r="S114" s="3" t="str">
        <x:f>IF(D114&lt;&gt;"Sí","",IF(P114="Sí","Cerrado",IF(K114="","Sin fecha",IF(K114&lt;TODAY(),"Vencido",IF(K114&lt;=TODAY()+3,"Próximo","En curso")))))</x:f>
      </x:c>
      <x:c r="T114"/>
    </x:row>
    <x:row r="115" ht="52" customHeight="1">
      <x:c r="A115" t="n">
        <x:v>109</x:v>
      </x:c>
      <x:c r="B115" s="33" t="str">
        <x:v>Proyectos y seguimiento físico-financiero</x:v>
      </x:c>
      <x:c r="C115" s="33" t="str">
        <x:v>Cierre y evaluación de proyectos</x:v>
      </x:c>
      <x:c r="D115" s="28"/>
      <x:c r="E115" s="33" t="str">
        <x:v>Hitos, fechas, avances, presupuesto y ejecución</x:v>
      </x:c>
      <x:c r="F115" s="33" t="str">
        <x:v>Expediente de cierre y evaluación final.</x:v>
      </x:c>
      <x:c r="G115" t="n">
        <x:v>13</x:v>
      </x:c>
      <x:c r="H115" s="31"/>
      <x:c r="I115" s="31"/>
      <x:c r="J115" s="32"/>
      <x:c r="K115" s="32"/>
      <x:c r="L115" s="31"/>
      <x:c r="M115" s="31"/>
      <x:c r="N115" s="31"/>
      <x:c r="O115" s="31"/>
      <x:c r="P115" s="31"/>
      <x:c r="Q115" s="32"/>
      <x:c r="R115" s="31"/>
      <x:c r="S115" s="3" t="str">
        <x:f>IF(D115&lt;&gt;"Sí","",IF(P115="Sí","Cerrado",IF(K115="","Sin fecha",IF(K115&lt;TODAY(),"Vencido",IF(K115&lt;=TODAY()+3,"Próximo","En curso")))))</x:f>
      </x:c>
      <x:c r="T115"/>
    </x:row>
    <x:row r="116" ht="52" customHeight="1">
      <x:c r="A116" t="n">
        <x:v>110</x:v>
      </x:c>
      <x:c r="B116" s="33" t="str">
        <x:v>Compras y proveedores</x:v>
      </x:c>
      <x:c r="C116" s="33" t="str">
        <x:v>Gestión de solicitudes de compra</x:v>
      </x:c>
      <x:c r="D116" s="28"/>
      <x:c r="E116" s="33" t="str">
        <x:v>Solicitud, especificación, ofertas y condiciones</x:v>
      </x:c>
      <x:c r="F116" s="33" t="str">
        <x:v>Solicitud completa y flujo de aprobación.</x:v>
      </x:c>
      <x:c r="G116" t="n">
        <x:v>14</x:v>
      </x:c>
      <x:c r="H116" s="31"/>
      <x:c r="I116" s="31"/>
      <x:c r="J116" s="32"/>
      <x:c r="K116" s="32"/>
      <x:c r="L116" s="31"/>
      <x:c r="M116" s="31"/>
      <x:c r="N116" s="31"/>
      <x:c r="O116" s="31"/>
      <x:c r="P116" s="31"/>
      <x:c r="Q116" s="32"/>
      <x:c r="R116" s="31"/>
      <x:c r="S116" s="3" t="str">
        <x:f>IF(D116&lt;&gt;"Sí","",IF(P116="Sí","Cerrado",IF(K116="","Sin fecha",IF(K116&lt;TODAY(),"Vencido",IF(K116&lt;=TODAY()+3,"Próximo","En curso")))))</x:f>
      </x:c>
      <x:c r="T116"/>
    </x:row>
    <x:row r="117" ht="52" customHeight="1">
      <x:c r="A117" t="n">
        <x:v>111</x:v>
      </x:c>
      <x:c r="B117" s="33" t="str">
        <x:v>Compras y proveedores</x:v>
      </x:c>
      <x:c r="C117" s="33" t="str">
        <x:v>Comparación de ofertas</x:v>
      </x:c>
      <x:c r="D117" s="28"/>
      <x:c r="E117" s="33" t="str">
        <x:v>Solicitud, especificación, ofertas y condiciones</x:v>
      </x:c>
      <x:c r="F117" s="33" t="str">
        <x:v>Matriz comparativa y preguntas para decisión.</x:v>
      </x:c>
      <x:c r="G117" t="n">
        <x:v>14</x:v>
      </x:c>
      <x:c r="H117" s="31"/>
      <x:c r="I117" s="31"/>
      <x:c r="J117" s="32"/>
      <x:c r="K117" s="32"/>
      <x:c r="L117" s="31"/>
      <x:c r="M117" s="31"/>
      <x:c r="N117" s="31"/>
      <x:c r="O117" s="31"/>
      <x:c r="P117" s="31"/>
      <x:c r="Q117" s="32"/>
      <x:c r="R117" s="31"/>
      <x:c r="S117" s="3" t="str">
        <x:f>IF(D117&lt;&gt;"Sí","",IF(P117="Sí","Cerrado",IF(K117="","Sin fecha",IF(K117&lt;TODAY(),"Vencido",IF(K117&lt;=TODAY()+3,"Próximo","En curso")))))</x:f>
      </x:c>
      <x:c r="T117"/>
    </x:row>
    <x:row r="118" ht="52" customHeight="1">
      <x:c r="A118" t="n">
        <x:v>112</x:v>
      </x:c>
      <x:c r="B118" s="33" t="str">
        <x:v>Compras y proveedores</x:v>
      </x:c>
      <x:c r="C118" s="33" t="str">
        <x:v>Control de expedientes de proveedores</x:v>
      </x:c>
      <x:c r="D118" s="28"/>
      <x:c r="E118" s="33" t="str">
        <x:v>Solicitud, especificación, ofertas y condiciones</x:v>
      </x:c>
      <x:c r="F118" s="33" t="str">
        <x:v>Ficha de proveedor y alertas.</x:v>
      </x:c>
      <x:c r="G118" t="n">
        <x:v>14</x:v>
      </x:c>
      <x:c r="H118" s="31"/>
      <x:c r="I118" s="31"/>
      <x:c r="J118" s="32"/>
      <x:c r="K118" s="32"/>
      <x:c r="L118" s="31"/>
      <x:c r="M118" s="31"/>
      <x:c r="N118" s="31"/>
      <x:c r="O118" s="31"/>
      <x:c r="P118" s="31"/>
      <x:c r="Q118" s="32"/>
      <x:c r="R118" s="31"/>
      <x:c r="S118" s="3" t="str">
        <x:f>IF(D118&lt;&gt;"Sí","",IF(P118="Sí","Cerrado",IF(K118="","Sin fecha",IF(K118&lt;TODAY(),"Vencido",IF(K118&lt;=TODAY()+3,"Próximo","En curso")))))</x:f>
      </x:c>
      <x:c r="T118"/>
    </x:row>
    <x:row r="119" ht="52" customHeight="1">
      <x:c r="A119" t="n">
        <x:v>113</x:v>
      </x:c>
      <x:c r="B119" s="33" t="str">
        <x:v>Inventarios, activos y mantenimiento</x:v>
      </x:c>
      <x:c r="C119" s="33" t="str">
        <x:v>Análisis de inventarios</x:v>
      </x:c>
      <x:c r="D119" s="28"/>
      <x:c r="E119" s="33" t="str">
        <x:v>Existencias, movimientos, conteo, custodio y equipos</x:v>
      </x:c>
      <x:c r="F119" s="33" t="str">
        <x:v>Reporte de inventario y acciones priorizadas.</x:v>
      </x:c>
      <x:c r="G119" t="n">
        <x:v>14</x:v>
      </x:c>
      <x:c r="H119" s="31"/>
      <x:c r="I119" s="31"/>
      <x:c r="J119" s="32"/>
      <x:c r="K119" s="32"/>
      <x:c r="L119" s="31"/>
      <x:c r="M119" s="31"/>
      <x:c r="N119" s="31"/>
      <x:c r="O119" s="31"/>
      <x:c r="P119" s="31"/>
      <x:c r="Q119" s="32"/>
      <x:c r="R119" s="31"/>
      <x:c r="S119" s="3" t="str">
        <x:f>IF(D119&lt;&gt;"Sí","",IF(P119="Sí","Cerrado",IF(K119="","Sin fecha",IF(K119&lt;TODAY(),"Vencido",IF(K119&lt;=TODAY()+3,"Próximo","En curso")))))</x:f>
      </x:c>
      <x:c r="T119"/>
    </x:row>
    <x:row r="120" ht="52" customHeight="1">
      <x:c r="A120" t="n">
        <x:v>114</x:v>
      </x:c>
      <x:c r="B120" s="33" t="str">
        <x:v>Inventarios, activos y mantenimiento</x:v>
      </x:c>
      <x:c r="C120" s="33" t="str">
        <x:v>Control de activos</x:v>
      </x:c>
      <x:c r="D120" s="28"/>
      <x:c r="E120" s="33" t="str">
        <x:v>Existencias, movimientos, conteo, custodio y equipos</x:v>
      </x:c>
      <x:c r="F120" s="33" t="str">
        <x:v>Registro de activos, alertas y conciliación física.</x:v>
      </x:c>
      <x:c r="G120" t="n">
        <x:v>14</x:v>
      </x:c>
      <x:c r="H120" s="31"/>
      <x:c r="I120" s="31"/>
      <x:c r="J120" s="32"/>
      <x:c r="K120" s="32"/>
      <x:c r="L120" s="31"/>
      <x:c r="M120" s="31"/>
      <x:c r="N120" s="31"/>
      <x:c r="O120" s="31"/>
      <x:c r="P120" s="31"/>
      <x:c r="Q120" s="32"/>
      <x:c r="R120" s="31"/>
      <x:c r="S120" s="3" t="str">
        <x:f>IF(D120&lt;&gt;"Sí","",IF(P120="Sí","Cerrado",IF(K120="","Sin fecha",IF(K120&lt;TODAY(),"Vencido",IF(K120&lt;=TODAY()+3,"Próximo","En curso")))))</x:f>
      </x:c>
      <x:c r="T120"/>
    </x:row>
    <x:row r="121" ht="52" customHeight="1">
      <x:c r="A121" t="n">
        <x:v>115</x:v>
      </x:c>
      <x:c r="B121" s="33" t="str">
        <x:v>Inventarios, activos y mantenimiento</x:v>
      </x:c>
      <x:c r="C121" s="33" t="str">
        <x:v>Planificación de mantenimiento</x:v>
      </x:c>
      <x:c r="D121" s="28"/>
      <x:c r="E121" s="33" t="str">
        <x:v>Existencias, movimientos, conteo, custodio y equipos</x:v>
      </x:c>
      <x:c r="F121" s="33" t="str">
        <x:v>Calendario de mantenimiento y alertas.</x:v>
      </x:c>
      <x:c r="G121" t="n">
        <x:v>14</x:v>
      </x:c>
      <x:c r="H121" s="31"/>
      <x:c r="I121" s="31"/>
      <x:c r="J121" s="32"/>
      <x:c r="K121" s="32"/>
      <x:c r="L121" s="31"/>
      <x:c r="M121" s="31"/>
      <x:c r="N121" s="31"/>
      <x:c r="O121" s="31"/>
      <x:c r="P121" s="31"/>
      <x:c r="Q121" s="32"/>
      <x:c r="R121" s="31"/>
      <x:c r="S121" s="3" t="str">
        <x:f>IF(D121&lt;&gt;"Sí","",IF(P121="Sí","Cerrado",IF(K121="","Sin fecha",IF(K121&lt;TODAY(),"Vencido",IF(K121&lt;=TODAY()+3,"Próximo","En curso")))))</x:f>
      </x:c>
      <x:c r="T121"/>
    </x:row>
    <x:row r="122" ht="52" customHeight="1">
      <x:c r="A122" t="n">
        <x:v>116</x:v>
      </x:c>
      <x:c r="B122" s="33" t="str">
        <x:v>Procesos operativos</x:v>
      </x:c>
      <x:c r="C122" s="33" t="str">
        <x:v>Análisis de procesos operativos</x:v>
      </x:c>
      <x:c r="D122" s="28"/>
      <x:c r="E122" s="33" t="str">
        <x:v>Flujo, responsables, tiempos y errores</x:v>
      </x:c>
      <x:c r="F122" s="33" t="str">
        <x:v>Mapa del proceso, línea base y oportunidades de automatización.</x:v>
      </x:c>
      <x:c r="G122" t="n">
        <x:v>14</x:v>
      </x:c>
      <x:c r="H122" s="31"/>
      <x:c r="I122" s="31"/>
      <x:c r="J122" s="32"/>
      <x:c r="K122" s="32"/>
      <x:c r="L122" s="31"/>
      <x:c r="M122" s="31"/>
      <x:c r="N122" s="31"/>
      <x:c r="O122" s="31"/>
      <x:c r="P122" s="31"/>
      <x:c r="Q122" s="32"/>
      <x:c r="R122" s="31"/>
      <x:c r="S122" s="3" t="str">
        <x:f>IF(D122&lt;&gt;"Sí","",IF(P122="Sí","Cerrado",IF(K122="","Sin fecha",IF(K122&lt;TODAY(),"Vencido",IF(K122&lt;=TODAY()+3,"Próximo","En curso")))))</x:f>
      </x:c>
      <x:c r="T122"/>
    </x:row>
    <x:row r="123" ht="52" customHeight="1">
      <x:c r="A123" t="n">
        <x:v>117</x:v>
      </x:c>
      <x:c r="B123" s="33" t="str">
        <x:v>Gestión comercial y clientes</x:v>
      </x:c>
      <x:c r="C123" s="33" t="str">
        <x:v>Gestión de prospectos</x:v>
      </x:c>
      <x:c r="D123" s="28"/>
      <x:c r="E123" s="33" t="str">
        <x:v>Prospectos, propuestas, oportunidades y condiciones</x:v>
      </x:c>
      <x:c r="F123" s="33" t="str">
        <x:v>Embudo comercial y recordatorios.</x:v>
      </x:c>
      <x:c r="G123" t="n">
        <x:v>15</x:v>
      </x:c>
      <x:c r="H123" s="31"/>
      <x:c r="I123" s="31"/>
      <x:c r="J123" s="32"/>
      <x:c r="K123" s="32"/>
      <x:c r="L123" s="31"/>
      <x:c r="M123" s="31"/>
      <x:c r="N123" s="31"/>
      <x:c r="O123" s="31"/>
      <x:c r="P123" s="31"/>
      <x:c r="Q123" s="32"/>
      <x:c r="R123" s="31"/>
      <x:c r="S123" s="3" t="str">
        <x:f>IF(D123&lt;&gt;"Sí","",IF(P123="Sí","Cerrado",IF(K123="","Sin fecha",IF(K123&lt;TODAY(),"Vencido",IF(K123&lt;=TODAY()+3,"Próximo","En curso")))))</x:f>
      </x:c>
      <x:c r="T123"/>
    </x:row>
    <x:row r="124" ht="52" customHeight="1">
      <x:c r="A124" t="n">
        <x:v>118</x:v>
      </x:c>
      <x:c r="B124" s="33" t="str">
        <x:v>Gestión comercial y clientes</x:v>
      </x:c>
      <x:c r="C124" s="33" t="str">
        <x:v>Preparación de propuestas comerciales</x:v>
      </x:c>
      <x:c r="D124" s="28"/>
      <x:c r="E124" s="33" t="str">
        <x:v>Prospectos, propuestas, oportunidades y condiciones</x:v>
      </x:c>
      <x:c r="F124" s="33" t="str">
        <x:v>Propuesta profesional y resumen para presentación.</x:v>
      </x:c>
      <x:c r="G124" t="n">
        <x:v>15</x:v>
      </x:c>
      <x:c r="H124" s="31"/>
      <x:c r="I124" s="31"/>
      <x:c r="J124" s="32"/>
      <x:c r="K124" s="32"/>
      <x:c r="L124" s="31"/>
      <x:c r="M124" s="31"/>
      <x:c r="N124" s="31"/>
      <x:c r="O124" s="31"/>
      <x:c r="P124" s="31"/>
      <x:c r="Q124" s="32"/>
      <x:c r="R124" s="31"/>
      <x:c r="S124" s="3" t="str">
        <x:f>IF(D124&lt;&gt;"Sí","",IF(P124="Sí","Cerrado",IF(K124="","Sin fecha",IF(K124&lt;TODAY(),"Vencido",IF(K124&lt;=TODAY()+3,"Próximo","En curso")))))</x:f>
      </x:c>
      <x:c r="T124"/>
    </x:row>
    <x:row r="125" ht="52" customHeight="1">
      <x:c r="A125" t="n">
        <x:v>119</x:v>
      </x:c>
      <x:c r="B125" s="33" t="str">
        <x:v>Gestión comercial y clientes</x:v>
      </x:c>
      <x:c r="C125" s="33" t="str">
        <x:v>Cotización basada en carga de trabajo</x:v>
      </x:c>
      <x:c r="D125" s="28"/>
      <x:c r="E125" s="33" t="str">
        <x:v>Prospectos, propuestas, oportunidades y condiciones</x:v>
      </x:c>
      <x:c r="F125" s="33" t="str">
        <x:v>Ficha de costo, precio y límites del servicio.</x:v>
      </x:c>
      <x:c r="G125" t="n">
        <x:v>15</x:v>
      </x:c>
      <x:c r="H125" s="31"/>
      <x:c r="I125" s="31"/>
      <x:c r="J125" s="32"/>
      <x:c r="K125" s="32"/>
      <x:c r="L125" s="31"/>
      <x:c r="M125" s="31"/>
      <x:c r="N125" s="31"/>
      <x:c r="O125" s="31"/>
      <x:c r="P125" s="31"/>
      <x:c r="Q125" s="32"/>
      <x:c r="R125" s="31"/>
      <x:c r="S125" s="3" t="str">
        <x:f>IF(D125&lt;&gt;"Sí","",IF(P125="Sí","Cerrado",IF(K125="","Sin fecha",IF(K125&lt;TODAY(),"Vencido",IF(K125&lt;=TODAY()+3,"Próximo","En curso")))))</x:f>
      </x:c>
      <x:c r="T125"/>
    </x:row>
    <x:row r="126" ht="52" customHeight="1">
      <x:c r="A126" t="n">
        <x:v>120</x:v>
      </x:c>
      <x:c r="B126" s="33" t="str">
        <x:v>Gestión comercial y clientes</x:v>
      </x:c>
      <x:c r="C126" s="33" t="str">
        <x:v>Seguimiento de clientes</x:v>
      </x:c>
      <x:c r="D126" s="28"/>
      <x:c r="E126" s="33" t="str">
        <x:v>Prospectos, propuestas, oportunidades y condiciones</x:v>
      </x:c>
      <x:c r="F126" s="33" t="str">
        <x:v>Panel de clientes y reporte de atención.</x:v>
      </x:c>
      <x:c r="G126" t="n">
        <x:v>15</x:v>
      </x:c>
      <x:c r="H126" s="31"/>
      <x:c r="I126" s="31"/>
      <x:c r="J126" s="32"/>
      <x:c r="K126" s="32"/>
      <x:c r="L126" s="31"/>
      <x:c r="M126" s="31"/>
      <x:c r="N126" s="31"/>
      <x:c r="O126" s="31"/>
      <x:c r="P126" s="31"/>
      <x:c r="Q126" s="32"/>
      <x:c r="R126" s="31"/>
      <x:c r="S126" s="3" t="str">
        <x:f>IF(D126&lt;&gt;"Sí","",IF(P126="Sí","Cerrado",IF(K126="","Sin fecha",IF(K126&lt;TODAY(),"Vencido",IF(K126&lt;=TODAY()+3,"Próximo","En curso")))))</x:f>
      </x:c>
      <x:c r="T126"/>
    </x:row>
    <x:row r="127" ht="52" customHeight="1">
      <x:c r="A127" t="n">
        <x:v>121</x:v>
      </x:c>
      <x:c r="B127" s="33" t="str">
        <x:v>Gestión comercial y clientes</x:v>
      </x:c>
      <x:c r="C127" s="33" t="str">
        <x:v>Análisis de reclamaciones</x:v>
      </x:c>
      <x:c r="D127" s="28"/>
      <x:c r="E127" s="33" t="str">
        <x:v>Prospectos, propuestas, oportunidades y condiciones</x:v>
      </x:c>
      <x:c r="F127" s="33" t="str">
        <x:v>Resumen de reclamaciones y plan de mejora.</x:v>
      </x:c>
      <x:c r="G127" t="n">
        <x:v>15</x:v>
      </x:c>
      <x:c r="H127" s="31"/>
      <x:c r="I127" s="31"/>
      <x:c r="J127" s="32"/>
      <x:c r="K127" s="32"/>
      <x:c r="L127" s="31"/>
      <x:c r="M127" s="31"/>
      <x:c r="N127" s="31"/>
      <x:c r="O127" s="31"/>
      <x:c r="P127" s="31"/>
      <x:c r="Q127" s="32"/>
      <x:c r="R127" s="31"/>
      <x:c r="S127" s="3" t="str">
        <x:f>IF(D127&lt;&gt;"Sí","",IF(P127="Sí","Cerrado",IF(K127="","Sin fecha",IF(K127&lt;TODAY(),"Vencido",IF(K127&lt;=TODAY()+3,"Próximo","En curso")))))</x:f>
      </x:c>
      <x:c r="T127"/>
    </x:row>
    <x:row r="128" ht="52" customHeight="1">
      <x:c r="A128" t="n">
        <x:v>122</x:v>
      </x:c>
      <x:c r="B128" s="33" t="str">
        <x:v>Gestión comercial y clientes</x:v>
      </x:c>
      <x:c r="C128" s="33" t="str">
        <x:v>Encuestas y voz del cliente</x:v>
      </x:c>
      <x:c r="D128" s="28"/>
      <x:c r="E128" s="33" t="str">
        <x:v>Prospectos, propuestas, oportunidades y condiciones</x:v>
      </x:c>
      <x:c r="F128" s="33" t="str">
        <x:v>Informe de percepción y acciones.</x:v>
      </x:c>
      <x:c r="G128" t="n">
        <x:v>15</x:v>
      </x:c>
      <x:c r="H128" s="31"/>
      <x:c r="I128" s="31"/>
      <x:c r="J128" s="32"/>
      <x:c r="K128" s="32"/>
      <x:c r="L128" s="31"/>
      <x:c r="M128" s="31"/>
      <x:c r="N128" s="31"/>
      <x:c r="O128" s="31"/>
      <x:c r="P128" s="31"/>
      <x:c r="Q128" s="32"/>
      <x:c r="R128" s="31"/>
      <x:c r="S128" s="3" t="str">
        <x:f>IF(D128&lt;&gt;"Sí","",IF(P128="Sí","Cerrado",IF(K128="","Sin fecha",IF(K128&lt;TODAY(),"Vencido",IF(K128&lt;=TODAY()+3,"Próximo","En curso")))))</x:f>
      </x:c>
      <x:c r="T128"/>
    </x:row>
    <x:row r="129" ht="52" customHeight="1">
      <x:c r="A129" t="n">
        <x:v>123</x:v>
      </x:c>
      <x:c r="B129" s="33" t="str">
        <x:v>Presentaciones y contenidos</x:v>
      </x:c>
      <x:c r="C129" s="33" t="str">
        <x:v>Presentaciones profesionales</x:v>
      </x:c>
      <x:c r="D129" s="28"/>
      <x:c r="E129" s="33" t="str">
        <x:v>Público, objetivo, formato, marca y contenido aprobado</x:v>
      </x:c>
      <x:c r="F129" s="33" t="str">
        <x:v>Presentación editable y guion del expositor.</x:v>
      </x:c>
      <x:c r="G129" t="n">
        <x:v>16</x:v>
      </x:c>
      <x:c r="H129" s="31"/>
      <x:c r="I129" s="31"/>
      <x:c r="J129" s="32"/>
      <x:c r="K129" s="32"/>
      <x:c r="L129" s="31"/>
      <x:c r="M129" s="31"/>
      <x:c r="N129" s="31"/>
      <x:c r="O129" s="31"/>
      <x:c r="P129" s="31"/>
      <x:c r="Q129" s="32"/>
      <x:c r="R129" s="31"/>
      <x:c r="S129" s="3" t="str">
        <x:f>IF(D129&lt;&gt;"Sí","",IF(P129="Sí","Cerrado",IF(K129="","Sin fecha",IF(K129&lt;TODAY(),"Vencido",IF(K129&lt;=TODAY()+3,"Próximo","En curso")))))</x:f>
      </x:c>
      <x:c r="T129"/>
    </x:row>
    <x:row r="130" ht="52" customHeight="1">
      <x:c r="A130" t="n">
        <x:v>124</x:v>
      </x:c>
      <x:c r="B130" s="33" t="str">
        <x:v>Presentaciones y contenidos</x:v>
      </x:c>
      <x:c r="C130" s="33" t="str">
        <x:v>Resúmenes en video</x:v>
      </x:c>
      <x:c r="D130" s="28"/>
      <x:c r="E130" s="33" t="str">
        <x:v>Público, objetivo, formato, marca y contenido aprobado</x:v>
      </x:c>
      <x:c r="F130" s="33" t="str">
        <x:v>Video y resumen escrito.</x:v>
      </x:c>
      <x:c r="G130" t="n">
        <x:v>16</x:v>
      </x:c>
      <x:c r="H130" s="31"/>
      <x:c r="I130" s="31"/>
      <x:c r="J130" s="32"/>
      <x:c r="K130" s="32"/>
      <x:c r="L130" s="31"/>
      <x:c r="M130" s="31"/>
      <x:c r="N130" s="31"/>
      <x:c r="O130" s="31"/>
      <x:c r="P130" s="31"/>
      <x:c r="Q130" s="32"/>
      <x:c r="R130" s="31"/>
      <x:c r="S130" s="3" t="str">
        <x:f>IF(D130&lt;&gt;"Sí","",IF(P130="Sí","Cerrado",IF(K130="","Sin fecha",IF(K130&lt;TODAY(),"Vencido",IF(K130&lt;=TODAY()+3,"Próximo","En curso")))))</x:f>
      </x:c>
      <x:c r="T130"/>
    </x:row>
    <x:row r="131" ht="52" customHeight="1">
      <x:c r="A131" t="n">
        <x:v>125</x:v>
      </x:c>
      <x:c r="B131" s="33" t="str">
        <x:v>Presentaciones y contenidos</x:v>
      </x:c>
      <x:c r="C131" s="33" t="str">
        <x:v>Pódcast o audio resumen</x:v>
      </x:c>
      <x:c r="D131" s="28"/>
      <x:c r="E131" s="33" t="str">
        <x:v>Público, objetivo, formato, marca y contenido aprobado</x:v>
      </x:c>
      <x:c r="F131" s="33" t="str">
        <x:v>Audio o guion, ficha de fuentes y puntos clave.</x:v>
      </x:c>
      <x:c r="G131" t="n">
        <x:v>16</x:v>
      </x:c>
      <x:c r="H131" s="31"/>
      <x:c r="I131" s="31"/>
      <x:c r="J131" s="32"/>
      <x:c r="K131" s="32"/>
      <x:c r="L131" s="31"/>
      <x:c r="M131" s="31"/>
      <x:c r="N131" s="31"/>
      <x:c r="O131" s="31"/>
      <x:c r="P131" s="31"/>
      <x:c r="Q131" s="32"/>
      <x:c r="R131" s="31"/>
      <x:c r="S131" s="3" t="str">
        <x:f>IF(D131&lt;&gt;"Sí","",IF(P131="Sí","Cerrado",IF(K131="","Sin fecha",IF(K131&lt;TODAY(),"Vencido",IF(K131&lt;=TODAY()+3,"Próximo","En curso")))))</x:f>
      </x:c>
      <x:c r="T131"/>
    </x:row>
    <x:row r="132" ht="52" customHeight="1">
      <x:c r="A132" t="n">
        <x:v>126</x:v>
      </x:c>
      <x:c r="B132" s="33" t="str">
        <x:v>Presentaciones y contenidos</x:v>
      </x:c>
      <x:c r="C132" s="33" t="str">
        <x:v>Boletines internos</x:v>
      </x:c>
      <x:c r="D132" s="28"/>
      <x:c r="E132" s="33" t="str">
        <x:v>Público, objetivo, formato, marca y contenido aprobado</x:v>
      </x:c>
      <x:c r="F132" s="33" t="str">
        <x:v>Boletín listo para distribuir.</x:v>
      </x:c>
      <x:c r="G132" t="n">
        <x:v>16</x:v>
      </x:c>
      <x:c r="H132" s="31"/>
      <x:c r="I132" s="31"/>
      <x:c r="J132" s="32"/>
      <x:c r="K132" s="32"/>
      <x:c r="L132" s="31"/>
      <x:c r="M132" s="31"/>
      <x:c r="N132" s="31"/>
      <x:c r="O132" s="31"/>
      <x:c r="P132" s="31"/>
      <x:c r="Q132" s="32"/>
      <x:c r="R132" s="31"/>
      <x:c r="S132" s="3" t="str">
        <x:f>IF(D132&lt;&gt;"Sí","",IF(P132="Sí","Cerrado",IF(K132="","Sin fecha",IF(K132&lt;TODAY(),"Vencido",IF(K132&lt;=TODAY()+3,"Próximo","En curso")))))</x:f>
      </x:c>
      <x:c r="T132"/>
    </x:row>
    <x:row r="133" ht="52" customHeight="1">
      <x:c r="A133" t="n">
        <x:v>127</x:v>
      </x:c>
      <x:c r="B133" s="33" t="str">
        <x:v>Presentaciones y contenidos</x:v>
      </x:c>
      <x:c r="C133" s="33" t="str">
        <x:v>Materiales de capacitación</x:v>
      </x:c>
      <x:c r="D133" s="28"/>
      <x:c r="E133" s="33" t="str">
        <x:v>Público, objetivo, formato, marca y contenido aprobado</x:v>
      </x:c>
      <x:c r="F133" s="33" t="str">
        <x:v>Paquete formativo por rol.</x:v>
      </x:c>
      <x:c r="G133" t="n">
        <x:v>16</x:v>
      </x:c>
      <x:c r="H133" s="31"/>
      <x:c r="I133" s="31"/>
      <x:c r="J133" s="32"/>
      <x:c r="K133" s="32"/>
      <x:c r="L133" s="31"/>
      <x:c r="M133" s="31"/>
      <x:c r="N133" s="31"/>
      <x:c r="O133" s="31"/>
      <x:c r="P133" s="31"/>
      <x:c r="Q133" s="32"/>
      <x:c r="R133" s="31"/>
      <x:c r="S133" s="3" t="str">
        <x:f>IF(D133&lt;&gt;"Sí","",IF(P133="Sí","Cerrado",IF(K133="","Sin fecha",IF(K133&lt;TODAY(),"Vencido",IF(K133&lt;=TODAY()+3,"Próximo","En curso")))))</x:f>
      </x:c>
      <x:c r="T133"/>
    </x:row>
    <x:row r="134" ht="52" customHeight="1">
      <x:c r="A134" t="n">
        <x:v>128</x:v>
      </x:c>
      <x:c r="B134" s="33" t="str">
        <x:v>Presentaciones y contenidos</x:v>
      </x:c>
      <x:c r="C134" s="33" t="str">
        <x:v>Guiones para reuniones o exposiciones</x:v>
      </x:c>
      <x:c r="D134" s="28"/>
      <x:c r="E134" s="33" t="str">
        <x:v>Público, objetivo, formato, marca y contenido aprobado</x:v>
      </x:c>
      <x:c r="F134" s="33" t="str">
        <x:v>Guion y tarjeta de mensajes.</x:v>
      </x:c>
      <x:c r="G134" t="n">
        <x:v>16</x:v>
      </x:c>
      <x:c r="H134" s="31"/>
      <x:c r="I134" s="31"/>
      <x:c r="J134" s="32"/>
      <x:c r="K134" s="32"/>
      <x:c r="L134" s="31"/>
      <x:c r="M134" s="31"/>
      <x:c r="N134" s="31"/>
      <x:c r="O134" s="31"/>
      <x:c r="P134" s="31"/>
      <x:c r="Q134" s="32"/>
      <x:c r="R134" s="31"/>
      <x:c r="S134" s="3" t="str">
        <x:f>IF(D134&lt;&gt;"Sí","",IF(P134="Sí","Cerrado",IF(K134="","Sin fecha",IF(K134&lt;TODAY(),"Vencido",IF(K134&lt;=TODAY()+3,"Próximo","En curso")))))</x:f>
      </x:c>
      <x:c r="T134"/>
    </x:row>
    <x:row r="135" ht="52" customHeight="1">
      <x:c r="A135" t="n">
        <x:v>129</x:v>
      </x:c>
      <x:c r="B135" s="33" t="str">
        <x:v>Presentaciones y contenidos</x:v>
      </x:c>
      <x:c r="C135" s="33" t="str">
        <x:v>Adaptación multiformato</x:v>
      </x:c>
      <x:c r="D135" s="28"/>
      <x:c r="E135" s="33" t="str">
        <x:v>Público, objetivo, formato, marca y contenido aprobado</x:v>
      </x:c>
      <x:c r="F135" s="33" t="str">
        <x:v>Paquete de contenidos coherentes.</x:v>
      </x:c>
      <x:c r="G135" t="n">
        <x:v>16</x:v>
      </x:c>
      <x:c r="H135" s="31"/>
      <x:c r="I135" s="31"/>
      <x:c r="J135" s="32"/>
      <x:c r="K135" s="32"/>
      <x:c r="L135" s="31"/>
      <x:c r="M135" s="31"/>
      <x:c r="N135" s="31"/>
      <x:c r="O135" s="31"/>
      <x:c r="P135" s="31"/>
      <x:c r="Q135" s="32"/>
      <x:c r="R135" s="31"/>
      <x:c r="S135" s="3" t="str">
        <x:f>IF(D135&lt;&gt;"Sí","",IF(P135="Sí","Cerrado",IF(K135="","Sin fecha",IF(K135&lt;TODAY(),"Vencido",IF(K135&lt;=TODAY()+3,"Próximo","En curso")))))</x:f>
      </x:c>
      <x:c r="T135"/>
    </x:row>
    <x:row r="136" ht="52" customHeight="1">
      <x:c r="A136" t="n">
        <x:v>130</x:v>
      </x:c>
      <x:c r="B136" s="33" t="str">
        <x:v>Asistentes internos y agentes</x:v>
      </x:c>
      <x:c r="C136" s="33" t="str">
        <x:v>Asistente interno de procedimientos</x:v>
      </x:c>
      <x:c r="D136" s="28"/>
      <x:c r="E136" s="33" t="str">
        <x:v>Fuentes autorizadas, consultas, permisos y casos</x:v>
      </x:c>
      <x:c r="F136" s="33" t="str">
        <x:v>Asistente con respuesta, fuente, versión y escalamiento.</x:v>
      </x:c>
      <x:c r="G136" t="n">
        <x:v>17</x:v>
      </x:c>
      <x:c r="H136" s="31"/>
      <x:c r="I136" s="31"/>
      <x:c r="J136" s="32"/>
      <x:c r="K136" s="32"/>
      <x:c r="L136" s="31"/>
      <x:c r="M136" s="31"/>
      <x:c r="N136" s="31"/>
      <x:c r="O136" s="31"/>
      <x:c r="P136" s="31"/>
      <x:c r="Q136" s="32"/>
      <x:c r="R136" s="31"/>
      <x:c r="S136" s="3" t="str">
        <x:f>IF(D136&lt;&gt;"Sí","",IF(P136="Sí","Cerrado",IF(K136="","Sin fecha",IF(K136&lt;TODAY(),"Vencido",IF(K136&lt;=TODAY()+3,"Próximo","En curso")))))</x:f>
      </x:c>
      <x:c r="T136"/>
    </x:row>
    <x:row r="137" ht="52" customHeight="1">
      <x:c r="A137" t="n">
        <x:v>131</x:v>
      </x:c>
      <x:c r="B137" s="33" t="str">
        <x:v>Asistentes internos y agentes</x:v>
      </x:c>
      <x:c r="C137" s="33" t="str">
        <x:v>Asistente de dirección</x:v>
      </x:c>
      <x:c r="D137" s="28"/>
      <x:c r="E137" s="33" t="str">
        <x:v>Fuentes autorizadas, consultas, permisos y casos</x:v>
      </x:c>
      <x:c r="F137" s="33" t="str">
        <x:v>Resumen diario o semanal y lista de prioridades.</x:v>
      </x:c>
      <x:c r="G137" t="n">
        <x:v>17</x:v>
      </x:c>
      <x:c r="H137" s="31"/>
      <x:c r="I137" s="31"/>
      <x:c r="J137" s="32"/>
      <x:c r="K137" s="32"/>
      <x:c r="L137" s="31"/>
      <x:c r="M137" s="31"/>
      <x:c r="N137" s="31"/>
      <x:c r="O137" s="31"/>
      <x:c r="P137" s="31"/>
      <x:c r="Q137" s="32"/>
      <x:c r="R137" s="31"/>
      <x:c r="S137" s="3" t="str">
        <x:f>IF(D137&lt;&gt;"Sí","",IF(P137="Sí","Cerrado",IF(K137="","Sin fecha",IF(K137&lt;TODAY(),"Vencido",IF(K137&lt;=TODAY()+3,"Próximo","En curso")))))</x:f>
      </x:c>
      <x:c r="T137"/>
    </x:row>
    <x:row r="138" ht="52" customHeight="1">
      <x:c r="A138" t="n">
        <x:v>132</x:v>
      </x:c>
      <x:c r="B138" s="33" t="str">
        <x:v>Asistentes internos y agentes</x:v>
      </x:c>
      <x:c r="C138" s="33" t="str">
        <x:v>Asistente contable</x:v>
      </x:c>
      <x:c r="D138" s="28"/>
      <x:c r="E138" s="33" t="str">
        <x:v>Fuentes autorizadas, consultas, permisos y casos</x:v>
      </x:c>
      <x:c r="F138" s="33" t="str">
        <x:v>Consulta documentada y papeles de trabajo.</x:v>
      </x:c>
      <x:c r="G138" t="n">
        <x:v>17</x:v>
      </x:c>
      <x:c r="H138" s="31"/>
      <x:c r="I138" s="31"/>
      <x:c r="J138" s="32"/>
      <x:c r="K138" s="32"/>
      <x:c r="L138" s="31"/>
      <x:c r="M138" s="31"/>
      <x:c r="N138" s="31"/>
      <x:c r="O138" s="31"/>
      <x:c r="P138" s="31"/>
      <x:c r="Q138" s="32"/>
      <x:c r="R138" s="31"/>
      <x:c r="S138" s="3" t="str">
        <x:f>IF(D138&lt;&gt;"Sí","",IF(P138="Sí","Cerrado",IF(K138="","Sin fecha",IF(K138&lt;TODAY(),"Vencido",IF(K138&lt;=TODAY()+3,"Próximo","En curso")))))</x:f>
      </x:c>
      <x:c r="T138"/>
    </x:row>
    <x:row r="139" ht="52" customHeight="1">
      <x:c r="A139" t="n">
        <x:v>133</x:v>
      </x:c>
      <x:c r="B139" s="33" t="str">
        <x:v>Asistentes internos y agentes</x:v>
      </x:c>
      <x:c r="C139" s="33" t="str">
        <x:v>Asistente de contratación</x:v>
      </x:c>
      <x:c r="D139" s="28"/>
      <x:c r="E139" s="33" t="str">
        <x:v>Fuentes autorizadas, consultas, permisos y casos</x:v>
      </x:c>
      <x:c r="F139" s="33" t="str">
        <x:v>Respuesta con fuentes y acciones pendientes.</x:v>
      </x:c>
      <x:c r="G139" t="n">
        <x:v>17</x:v>
      </x:c>
      <x:c r="H139" s="31"/>
      <x:c r="I139" s="31"/>
      <x:c r="J139" s="32"/>
      <x:c r="K139" s="32"/>
      <x:c r="L139" s="31"/>
      <x:c r="M139" s="31"/>
      <x:c r="N139" s="31"/>
      <x:c r="O139" s="31"/>
      <x:c r="P139" s="31"/>
      <x:c r="Q139" s="32"/>
      <x:c r="R139" s="31"/>
      <x:c r="S139" s="3" t="str">
        <x:f>IF(D139&lt;&gt;"Sí","",IF(P139="Sí","Cerrado",IF(K139="","Sin fecha",IF(K139&lt;TODAY(),"Vencido",IF(K139&lt;=TODAY()+3,"Próximo","En curso")))))</x:f>
      </x:c>
      <x:c r="T139"/>
    </x:row>
    <x:row r="140" ht="52" customHeight="1">
      <x:c r="A140" t="n">
        <x:v>134</x:v>
      </x:c>
      <x:c r="B140" s="33" t="str">
        <x:v>Asistentes internos y agentes</x:v>
      </x:c>
      <x:c r="C140" s="33" t="str">
        <x:v>Agente de vigilancia normativa</x:v>
      </x:c>
      <x:c r="D140" s="28"/>
      <x:c r="E140" s="33" t="str">
        <x:v>Fuentes autorizadas, consultas, permisos y casos</x:v>
      </x:c>
      <x:c r="F140" s="33" t="str">
        <x:v>Cola de cambios y borrador de impacto.</x:v>
      </x:c>
      <x:c r="G140" t="n">
        <x:v>17</x:v>
      </x:c>
      <x:c r="H140" s="31"/>
      <x:c r="I140" s="31"/>
      <x:c r="J140" s="32"/>
      <x:c r="K140" s="32"/>
      <x:c r="L140" s="31"/>
      <x:c r="M140" s="31"/>
      <x:c r="N140" s="31"/>
      <x:c r="O140" s="31"/>
      <x:c r="P140" s="31"/>
      <x:c r="Q140" s="32"/>
      <x:c r="R140" s="31"/>
      <x:c r="S140" s="3" t="str">
        <x:f>IF(D140&lt;&gt;"Sí","",IF(P140="Sí","Cerrado",IF(K140="","Sin fecha",IF(K140&lt;TODAY(),"Vencido",IF(K140&lt;=TODAY()+3,"Próximo","En curso")))))</x:f>
      </x:c>
      <x:c r="T140"/>
    </x:row>
    <x:row r="141" ht="52" customHeight="1">
      <x:c r="A141" t="n">
        <x:v>135</x:v>
      </x:c>
      <x:c r="B141" s="33" t="str">
        <x:v>Asistentes internos y agentes</x:v>
      </x:c>
      <x:c r="C141" s="33" t="str">
        <x:v>Agente de seguimiento</x:v>
      </x:c>
      <x:c r="D141" s="28"/>
      <x:c r="E141" s="33" t="str">
        <x:v>Fuentes autorizadas, consultas, permisos y casos</x:v>
      </x:c>
      <x:c r="F141" s="33" t="str">
        <x:v>Panel actualizado y excepciones.</x:v>
      </x:c>
      <x:c r="G141" t="n">
        <x:v>17</x:v>
      </x:c>
      <x:c r="H141" s="31"/>
      <x:c r="I141" s="31"/>
      <x:c r="J141" s="32"/>
      <x:c r="K141" s="32"/>
      <x:c r="L141" s="31"/>
      <x:c r="M141" s="31"/>
      <x:c r="N141" s="31"/>
      <x:c r="O141" s="31"/>
      <x:c r="P141" s="31"/>
      <x:c r="Q141" s="32"/>
      <x:c r="R141" s="31"/>
      <x:c r="S141" s="3" t="str">
        <x:f>IF(D141&lt;&gt;"Sí","",IF(P141="Sí","Cerrado",IF(K141="","Sin fecha",IF(K141&lt;TODAY(),"Vencido",IF(K141&lt;=TODAY()+3,"Próximo","En curso")))))</x:f>
      </x:c>
      <x:c r="T141"/>
    </x:row>
    <x:row r="142" ht="52" customHeight="1">
      <x:c r="A142" t="n">
        <x:v>136</x:v>
      </x:c>
      <x:c r="B142" s="33" t="str">
        <x:v>Asistentes internos y agentes</x:v>
      </x:c>
      <x:c r="C142" s="33" t="str">
        <x:v>Orquestación de trabajo entre áreas</x:v>
      </x:c>
      <x:c r="D142" s="28"/>
      <x:c r="E142" s="33" t="str">
        <x:v>Fuentes autorizadas, consultas, permisos y casos</x:v>
      </x:c>
      <x:c r="F142" s="33" t="str">
        <x:v>Expediente único y salida integrada.</x:v>
      </x:c>
      <x:c r="G142" t="n">
        <x:v>17</x:v>
      </x:c>
      <x:c r="H142" s="31"/>
      <x:c r="I142" s="31"/>
      <x:c r="J142" s="32"/>
      <x:c r="K142" s="32"/>
      <x:c r="L142" s="31"/>
      <x:c r="M142" s="31"/>
      <x:c r="N142" s="31"/>
      <x:c r="O142" s="31"/>
      <x:c r="P142" s="31"/>
      <x:c r="Q142" s="32"/>
      <x:c r="R142" s="31"/>
      <x:c r="S142" s="3" t="str">
        <x:f>IF(D142&lt;&gt;"Sí","",IF(P142="Sí","Cerrado",IF(K142="","Sin fecha",IF(K142&lt;TODAY(),"Vencido",IF(K142&lt;=TODAY()+3,"Próximo","En curso")))))</x:f>
      </x:c>
      <x:c r="T142"/>
    </x:row>
    <x:row r="143" ht="52" customHeight="1">
      <x:c r="A143" t="n">
        <x:v>137</x:v>
      </x:c>
      <x:c r="B143" s="33" t="str">
        <x:v>Diagnóstico e implantación</x:v>
      </x:c>
      <x:c r="C143" s="33" t="str">
        <x:v>Diagnóstico interno integral</x:v>
      </x:c>
      <x:c r="D143" s="28"/>
      <x:c r="E143" s="33" t="str">
        <x:v>Objetivos, procesos, madurez y evidencias</x:v>
      </x:c>
      <x:c r="F143" s="33" t="str">
        <x:v>Mapa de situación, brechas y prioridades.</x:v>
      </x:c>
      <x:c r="G143" t="n">
        <x:v>18</x:v>
      </x:c>
      <x:c r="H143" s="31"/>
      <x:c r="I143" s="31"/>
      <x:c r="J143" s="32"/>
      <x:c r="K143" s="32"/>
      <x:c r="L143" s="31"/>
      <x:c r="M143" s="31"/>
      <x:c r="N143" s="31"/>
      <x:c r="O143" s="31"/>
      <x:c r="P143" s="31"/>
      <x:c r="Q143" s="32"/>
      <x:c r="R143" s="31"/>
      <x:c r="S143" s="3" t="str">
        <x:f>IF(D143&lt;&gt;"Sí","",IF(P143="Sí","Cerrado",IF(K143="","Sin fecha",IF(K143&lt;TODAY(),"Vencido",IF(K143&lt;=TODAY()+3,"Próximo","En curso")))))</x:f>
      </x:c>
      <x:c r="T143"/>
    </x:row>
    <x:row r="144" ht="52" customHeight="1">
      <x:c r="A144" t="n">
        <x:v>138</x:v>
      </x:c>
      <x:c r="B144" s="33" t="str">
        <x:v>Automatización y Oficina Inteligente</x:v>
      </x:c>
      <x:c r="C144" s="33" t="str">
        <x:v>Inventario de tareas repetitivas</x:v>
      </x:c>
      <x:c r="D144" s="28"/>
      <x:c r="E144" s="33" t="str">
        <x:v>Tareas, entradas, reglas, herramientas y autorizaciones</x:v>
      </x:c>
      <x:c r="F144" s="33" t="str">
        <x:v>Catálogo de tareas y puntuación de automatización.</x:v>
      </x:c>
      <x:c r="G144" t="n">
        <x:v>17</x:v>
      </x:c>
      <x:c r="H144" s="31"/>
      <x:c r="I144" s="31"/>
      <x:c r="J144" s="32"/>
      <x:c r="K144" s="32"/>
      <x:c r="L144" s="31"/>
      <x:c r="M144" s="31"/>
      <x:c r="N144" s="31"/>
      <x:c r="O144" s="31"/>
      <x:c r="P144" s="31"/>
      <x:c r="Q144" s="32"/>
      <x:c r="R144" s="31"/>
      <x:c r="S144" s="3" t="str">
        <x:f>IF(D144&lt;&gt;"Sí","",IF(P144="Sí","Cerrado",IF(K144="","Sin fecha",IF(K144&lt;TODAY(),"Vencido",IF(K144&lt;=TODAY()+3,"Próximo","En curso")))))</x:f>
      </x:c>
      <x:c r="T144"/>
    </x:row>
    <x:row r="145" ht="52" customHeight="1">
      <x:c r="A145" t="n">
        <x:v>139</x:v>
      </x:c>
      <x:c r="B145" s="33" t="str">
        <x:v>Automatización y Oficina Inteligente</x:v>
      </x:c>
      <x:c r="C145" s="33" t="str">
        <x:v>Medición de tiempo ahorrado</x:v>
      </x:c>
      <x:c r="D145" s="28"/>
      <x:c r="E145" s="33" t="str">
        <x:v>Tareas, entradas, reglas, herramientas y autorizaciones</x:v>
      </x:c>
      <x:c r="F145" s="33" t="str">
        <x:v>Informe de ahorro, capacidad liberada y calidad.</x:v>
      </x:c>
      <x:c r="G145" t="n">
        <x:v>17</x:v>
      </x:c>
      <x:c r="H145" s="31"/>
      <x:c r="I145" s="31"/>
      <x:c r="J145" s="32"/>
      <x:c r="K145" s="32"/>
      <x:c r="L145" s="31"/>
      <x:c r="M145" s="31"/>
      <x:c r="N145" s="31"/>
      <x:c r="O145" s="31"/>
      <x:c r="P145" s="31"/>
      <x:c r="Q145" s="32"/>
      <x:c r="R145" s="31"/>
      <x:c r="S145" s="3" t="str">
        <x:f>IF(D145&lt;&gt;"Sí","",IF(P145="Sí","Cerrado",IF(K145="","Sin fecha",IF(K145&lt;TODAY(),"Vencido",IF(K145&lt;=TODAY()+3,"Próximo","En curso")))))</x:f>
      </x:c>
      <x:c r="T145"/>
    </x:row>
    <x:row r="146" ht="52" customHeight="1">
      <x:c r="A146" t="n">
        <x:v>140</x:v>
      </x:c>
      <x:c r="B146" s="33" t="str">
        <x:v>Automatización y Oficina Inteligente</x:v>
      </x:c>
      <x:c r="C146" s="33" t="str">
        <x:v>Pilotos de automatización</x:v>
      </x:c>
      <x:c r="D146" s="28"/>
      <x:c r="E146" s="33" t="str">
        <x:v>Tareas, entradas, reglas, herramientas y autorizaciones</x:v>
      </x:c>
      <x:c r="F146" s="33" t="str">
        <x:v>Piloto operativo, manual y criterio de aceptación.</x:v>
      </x:c>
      <x:c r="G146" t="n">
        <x:v>17</x:v>
      </x:c>
      <x:c r="H146" s="31"/>
      <x:c r="I146" s="31"/>
      <x:c r="J146" s="32"/>
      <x:c r="K146" s="32"/>
      <x:c r="L146" s="31"/>
      <x:c r="M146" s="31"/>
      <x:c r="N146" s="31"/>
      <x:c r="O146" s="31"/>
      <x:c r="P146" s="31"/>
      <x:c r="Q146" s="32"/>
      <x:c r="R146" s="31"/>
      <x:c r="S146" s="3" t="str">
        <x:f>IF(D146&lt;&gt;"Sí","",IF(P146="Sí","Cerrado",IF(K146="","Sin fecha",IF(K146&lt;TODAY(),"Vencido",IF(K146&lt;=TODAY()+3,"Próximo","En curso")))))</x:f>
      </x:c>
      <x:c r="T146"/>
    </x:row>
    <x:row r="147" ht="52" customHeight="1">
      <x:c r="A147" t="n">
        <x:v>141</x:v>
      </x:c>
      <x:c r="B147" s="33" t="str">
        <x:v>Diagnóstico e implantación</x:v>
      </x:c>
      <x:c r="C147" s="33" t="str">
        <x:v>Implantación de oficina inteligente</x:v>
      </x:c>
      <x:c r="D147" s="28"/>
      <x:c r="E147" s="33" t="str">
        <x:v>Objetivos, procesos, madurez y evidencias</x:v>
      </x:c>
      <x:c r="F147" s="33" t="str">
        <x:v>Sistema de trabajo listo para operar.</x:v>
      </x:c>
      <x:c r="G147" t="n">
        <x:v>18</x:v>
      </x:c>
      <x:c r="H147" s="31"/>
      <x:c r="I147" s="31"/>
      <x:c r="J147" s="32"/>
      <x:c r="K147" s="32"/>
      <x:c r="L147" s="31"/>
      <x:c r="M147" s="31"/>
      <x:c r="N147" s="31"/>
      <x:c r="O147" s="31"/>
      <x:c r="P147" s="31"/>
      <x:c r="Q147" s="32"/>
      <x:c r="R147" s="31"/>
      <x:c r="S147" s="3" t="str">
        <x:f>IF(D147&lt;&gt;"Sí","",IF(P147="Sí","Cerrado",IF(K147="","Sin fecha",IF(K147&lt;TODAY(),"Vencido",IF(K147&lt;=TODAY()+3,"Próximo","En curso")))))</x:f>
      </x:c>
      <x:c r="T147"/>
    </x:row>
    <x:row r="148" ht="52" customHeight="1">
      <x:c r="A148" t="n">
        <x:v>142</x:v>
      </x:c>
      <x:c r="B148" s="33" t="str">
        <x:v>Diagnóstico e implantación</x:v>
      </x:c>
      <x:c r="C148" s="33" t="str">
        <x:v>Servicio gestionado por un tercero</x:v>
      </x:c>
      <x:c r="D148" s="28"/>
      <x:c r="E148" s="33" t="str">
        <x:v>Objetivos, procesos, madurez y evidencias</x:v>
      </x:c>
      <x:c r="F148" s="33" t="str">
        <x:v>Entregables aprobados, panel, expediente y soporte.</x:v>
      </x:c>
      <x:c r="G148" t="n">
        <x:v>18</x:v>
      </x:c>
      <x:c r="H148" s="31"/>
      <x:c r="I148" s="31"/>
      <x:c r="J148" s="32"/>
      <x:c r="K148" s="32"/>
      <x:c r="L148" s="31"/>
      <x:c r="M148" s="31"/>
      <x:c r="N148" s="31"/>
      <x:c r="O148" s="31"/>
      <x:c r="P148" s="31"/>
      <x:c r="Q148" s="32"/>
      <x:c r="R148" s="31"/>
      <x:c r="S148" s="3" t="str">
        <x:f>IF(D148&lt;&gt;"Sí","",IF(P148="Sí","Cerrado",IF(K148="","Sin fecha",IF(K148&lt;TODAY(),"Vencido",IF(K148&lt;=TODAY()+3,"Próximo","En curso")))))</x:f>
      </x:c>
      <x:c r="T148"/>
    </x:row>
    <x:row r="149" ht="52" customHeight="1">
      <x:c r="A149" t="n">
        <x:v>143</x:v>
      </x:c>
      <x:c r="B149" s="33" t="str">
        <x:v>Diagnóstico e implantación</x:v>
      </x:c>
      <x:c r="C149" s="33" t="str">
        <x:v>Transferencia y acompañamiento</x:v>
      </x:c>
      <x:c r="D149" s="28"/>
      <x:c r="E149" s="33" t="str">
        <x:v>Objetivos, procesos, madurez y evidencias</x:v>
      </x:c>
      <x:c r="F149" s="33" t="str">
        <x:v>Sistema transferido, manuales, evaluación y soporte.</x:v>
      </x:c>
      <x:c r="G149" t="n">
        <x:v>18</x:v>
      </x:c>
      <x:c r="H149" s="31"/>
      <x:c r="I149" s="31"/>
      <x:c r="J149" s="32"/>
      <x:c r="K149" s="32"/>
      <x:c r="L149" s="31"/>
      <x:c r="M149" s="31"/>
      <x:c r="N149" s="31"/>
      <x:c r="O149" s="31"/>
      <x:c r="P149" s="31"/>
      <x:c r="Q149" s="32"/>
      <x:c r="R149" s="31"/>
      <x:c r="S149" s="3" t="str">
        <x:f>IF(D149&lt;&gt;"Sí","",IF(P149="Sí","Cerrado",IF(K149="","Sin fecha",IF(K149&lt;TODAY(),"Vencido",IF(K149&lt;=TODAY()+3,"Próximo","En curso")))))</x:f>
      </x:c>
      <x:c r="T149"/>
    </x:row>
    <x:row r="150" ht="52" customHeight="1">
      <x:c r="A150" t="n">
        <x:v>144</x:v>
      </x:c>
      <x:c r="B150" s="33" t="str">
        <x:v>Acompañamiento de actores económicos</x:v>
      </x:c>
      <x:c r="C150" s="33" t="str">
        <x:v>Organización y puesta en marcha de nuevos actores económicos</x:v>
      </x:c>
      <x:c r="D150" s="28"/>
      <x:c r="E150" s="33" t="str">
        <x:v>Tipo de actor, socios, actividad, municipio y proyecto</x:v>
      </x:c>
      <x:c r="F150" s="33" t="str">
        <x:v>Ruta de organización y expediente preparatorio</x:v>
      </x:c>
      <x:c r="G150" t="n">
        <x:v>18</x:v>
      </x:c>
      <x:c r="H150" s="31"/>
      <x:c r="I150" s="31"/>
      <x:c r="J150" s="32"/>
      <x:c r="K150" s="32"/>
      <x:c r="L150" s="31"/>
      <x:c r="M150" s="31"/>
      <x:c r="N150" s="31"/>
      <x:c r="O150" s="31"/>
      <x:c r="P150" s="31"/>
      <x:c r="Q150" s="32"/>
      <x:c r="R150" s="31"/>
      <x:c r="S150" s="3" t="str">
        <x:f>IF(D150&lt;&gt;"Sí","",IF(P150="Sí","Cerrado",IF(K150="","Sin fecha",IF(K150&lt;TODAY(),"Vencido",IF(K150&lt;=TODAY()+3,"Próximo","En curso")))))</x:f>
      </x:c>
      <x:c r="T150"/>
    </x:row>
  </x:sheetData>
  <x:conditionalFormatting sqref="S7:S150">
    <x:cfRule type="expression" dxfId="0" priority="1">
      <x:formula>$S7="Vencido"</x:formula>
    </x:cfRule>
    <x:cfRule type="expression" dxfId="1" priority="2">
      <x:formula>$S7="Próximo"</x:formula>
    </x:cfRule>
  </x:conditionalFormatting>
  <x:dataValidations count="5">
    <x:dataValidation type="list" sqref="D7:D150">
      <x:formula1>"Sí,No"</x:formula1>
    </x:dataValidation>
    <x:dataValidation type="list" sqref="H7:H150">
      <x:formula1>"Por iniciar,En desarrollo,En revisión,Entregado,Aceptado,Bloqueado"</x:formula1>
    </x:dataValidation>
    <x:dataValidation type="list" sqref="M7:M150">
      <x:formula1>"Sí,No"</x:formula1>
    </x:dataValidation>
    <x:dataValidation type="list" sqref="P7:P150">
      <x:formula1>"Sí,No"</x:formula1>
    </x:dataValidation>
    <x:dataValidation type="list" sqref="R7:R15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d601723e79492a"/>
  </x:tableParts>
</x:worksheet>
</file>